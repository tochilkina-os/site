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032\Desktop\"/>
    </mc:Choice>
  </mc:AlternateContent>
  <xr:revisionPtr revIDLastSave="0" documentId="13_ncr:1_{DCCF597D-C8FC-4373-8A00-79B1424B0082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Список детей" sheetId="6" r:id="rId1"/>
    <sheet name="познавательное развитие" sheetId="2" r:id="rId2"/>
    <sheet name="социально-коммуникативное разви" sheetId="1" r:id="rId3"/>
    <sheet name="речевое развитие" sheetId="3" r:id="rId4"/>
    <sheet name="художественно-эстетическое раз" sheetId="4" r:id="rId5"/>
    <sheet name="физическое развитие" sheetId="5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1" i="5" l="1"/>
  <c r="S21" i="5" s="1"/>
  <c r="R21" i="5"/>
  <c r="T21" i="5"/>
  <c r="U21" i="5"/>
  <c r="V21" i="5"/>
  <c r="Q22" i="5"/>
  <c r="R22" i="5"/>
  <c r="V22" i="5" s="1"/>
  <c r="S22" i="5"/>
  <c r="U22" i="5"/>
  <c r="Q23" i="5"/>
  <c r="S23" i="5" s="1"/>
  <c r="R23" i="5"/>
  <c r="T23" i="5"/>
  <c r="U23" i="5"/>
  <c r="V23" i="5"/>
  <c r="Q24" i="5"/>
  <c r="R24" i="5"/>
  <c r="T24" i="5" s="1"/>
  <c r="S24" i="5"/>
  <c r="U24" i="5"/>
  <c r="U22" i="4"/>
  <c r="W22" i="4" s="1"/>
  <c r="V22" i="4"/>
  <c r="X22" i="4"/>
  <c r="Y22" i="4"/>
  <c r="Z22" i="4"/>
  <c r="U23" i="4"/>
  <c r="V23" i="4"/>
  <c r="W23" i="4"/>
  <c r="X23" i="4"/>
  <c r="Y23" i="4"/>
  <c r="Z23" i="4"/>
  <c r="U24" i="4"/>
  <c r="W24" i="4" s="1"/>
  <c r="V24" i="4"/>
  <c r="X24" i="4" s="1"/>
  <c r="Y24" i="4"/>
  <c r="Z24" i="4"/>
  <c r="U25" i="4"/>
  <c r="V25" i="4"/>
  <c r="W25" i="4"/>
  <c r="X25" i="4"/>
  <c r="Y25" i="4"/>
  <c r="Z25" i="4"/>
  <c r="K21" i="3"/>
  <c r="M21" i="3" s="1"/>
  <c r="L21" i="3"/>
  <c r="N21" i="3"/>
  <c r="O21" i="3"/>
  <c r="P21" i="3"/>
  <c r="K22" i="3"/>
  <c r="L22" i="3"/>
  <c r="N22" i="3" s="1"/>
  <c r="M22" i="3"/>
  <c r="O22" i="3"/>
  <c r="P22" i="3"/>
  <c r="K23" i="3"/>
  <c r="M23" i="3" s="1"/>
  <c r="L23" i="3"/>
  <c r="N23" i="3"/>
  <c r="O23" i="3"/>
  <c r="P23" i="3"/>
  <c r="K24" i="3"/>
  <c r="L24" i="3"/>
  <c r="N24" i="3" s="1"/>
  <c r="M24" i="3"/>
  <c r="O24" i="3"/>
  <c r="U21" i="2"/>
  <c r="W21" i="2" s="1"/>
  <c r="V21" i="2"/>
  <c r="X21" i="2"/>
  <c r="Y21" i="2"/>
  <c r="Z21" i="2"/>
  <c r="U22" i="2"/>
  <c r="V22" i="2"/>
  <c r="Z22" i="2" s="1"/>
  <c r="W22" i="2"/>
  <c r="Y22" i="2"/>
  <c r="U23" i="2"/>
  <c r="W23" i="2" s="1"/>
  <c r="V23" i="2"/>
  <c r="X23" i="2"/>
  <c r="Y23" i="2"/>
  <c r="Z23" i="2"/>
  <c r="U24" i="2"/>
  <c r="V24" i="2"/>
  <c r="X24" i="2" s="1"/>
  <c r="W24" i="2"/>
  <c r="Y24" i="2"/>
  <c r="Y21" i="1"/>
  <c r="AA21" i="1" s="1"/>
  <c r="Z21" i="1"/>
  <c r="AB21" i="1"/>
  <c r="AC21" i="1"/>
  <c r="AD21" i="1"/>
  <c r="Y22" i="1"/>
  <c r="Z22" i="1"/>
  <c r="AA22" i="1"/>
  <c r="AB22" i="1"/>
  <c r="AC22" i="1"/>
  <c r="AD22" i="1"/>
  <c r="Y23" i="1"/>
  <c r="Z23" i="1"/>
  <c r="AB23" i="1" s="1"/>
  <c r="AA23" i="1"/>
  <c r="AC23" i="1"/>
  <c r="AD23" i="1"/>
  <c r="Y24" i="1"/>
  <c r="AA24" i="1" s="1"/>
  <c r="Z24" i="1"/>
  <c r="AB24" i="1"/>
  <c r="AD24" i="1"/>
  <c r="V24" i="5" l="1"/>
  <c r="T22" i="5"/>
  <c r="P24" i="3"/>
  <c r="Z24" i="2"/>
  <c r="X22" i="2"/>
  <c r="AC24" i="1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B11" i="2" l="1"/>
  <c r="U7" i="4" l="1"/>
  <c r="W7" i="4" s="1"/>
  <c r="V7" i="4"/>
  <c r="Z7" i="4" s="1"/>
  <c r="U8" i="4"/>
  <c r="W8" i="4" s="1"/>
  <c r="V8" i="4"/>
  <c r="X8" i="4" s="1"/>
  <c r="U9" i="4"/>
  <c r="W9" i="4" s="1"/>
  <c r="V9" i="4"/>
  <c r="X9" i="4" s="1"/>
  <c r="U10" i="4"/>
  <c r="W10" i="4" s="1"/>
  <c r="V10" i="4"/>
  <c r="Z10" i="4" s="1"/>
  <c r="U11" i="4"/>
  <c r="W11" i="4" s="1"/>
  <c r="V11" i="4"/>
  <c r="Z11" i="4" s="1"/>
  <c r="U12" i="4"/>
  <c r="W12" i="4" s="1"/>
  <c r="V12" i="4"/>
  <c r="Z12" i="4" s="1"/>
  <c r="U13" i="4"/>
  <c r="W13" i="4" s="1"/>
  <c r="V13" i="4"/>
  <c r="Z13" i="4" s="1"/>
  <c r="U14" i="4"/>
  <c r="W14" i="4" s="1"/>
  <c r="V14" i="4"/>
  <c r="X14" i="4" s="1"/>
  <c r="U15" i="4"/>
  <c r="W15" i="4" s="1"/>
  <c r="V15" i="4"/>
  <c r="Z15" i="4" s="1"/>
  <c r="U16" i="4"/>
  <c r="W16" i="4" s="1"/>
  <c r="V16" i="4"/>
  <c r="X16" i="4" s="1"/>
  <c r="U17" i="4"/>
  <c r="W17" i="4" s="1"/>
  <c r="V17" i="4"/>
  <c r="Z17" i="4" s="1"/>
  <c r="U18" i="4"/>
  <c r="W18" i="4" s="1"/>
  <c r="V18" i="4"/>
  <c r="Z18" i="4" s="1"/>
  <c r="U19" i="4"/>
  <c r="W19" i="4" s="1"/>
  <c r="V19" i="4"/>
  <c r="Z19" i="4" s="1"/>
  <c r="Y19" i="4"/>
  <c r="U20" i="4"/>
  <c r="W20" i="4" s="1"/>
  <c r="V20" i="4"/>
  <c r="Z20" i="4" s="1"/>
  <c r="U21" i="4"/>
  <c r="W21" i="4" s="1"/>
  <c r="V21" i="4"/>
  <c r="Z21" i="4" s="1"/>
  <c r="Y21" i="4"/>
  <c r="V6" i="4"/>
  <c r="U6" i="4"/>
  <c r="Y5" i="1"/>
  <c r="AA5" i="1" s="1"/>
  <c r="Z5" i="1"/>
  <c r="AB5" i="1" s="1"/>
  <c r="N30" i="5"/>
  <c r="M30" i="5"/>
  <c r="Q6" i="5"/>
  <c r="U6" i="5" s="1"/>
  <c r="R6" i="5"/>
  <c r="T6" i="5" s="1"/>
  <c r="Q7" i="5"/>
  <c r="U7" i="5" s="1"/>
  <c r="R7" i="5"/>
  <c r="T7" i="5" s="1"/>
  <c r="Q8" i="5"/>
  <c r="U8" i="5" s="1"/>
  <c r="R8" i="5"/>
  <c r="V8" i="5" s="1"/>
  <c r="Q9" i="5"/>
  <c r="R9" i="5"/>
  <c r="T9" i="5" s="1"/>
  <c r="Q10" i="5"/>
  <c r="S10" i="5" s="1"/>
  <c r="R10" i="5"/>
  <c r="V10" i="5" s="1"/>
  <c r="Q11" i="5"/>
  <c r="U11" i="5" s="1"/>
  <c r="R11" i="5"/>
  <c r="T11" i="5" s="1"/>
  <c r="Q12" i="5"/>
  <c r="R12" i="5"/>
  <c r="T12" i="5" s="1"/>
  <c r="Q13" i="5"/>
  <c r="U13" i="5" s="1"/>
  <c r="R13" i="5"/>
  <c r="T13" i="5" s="1"/>
  <c r="Q14" i="5"/>
  <c r="S14" i="5" s="1"/>
  <c r="R14" i="5"/>
  <c r="T14" i="5" s="1"/>
  <c r="Q15" i="5"/>
  <c r="U15" i="5" s="1"/>
  <c r="R15" i="5"/>
  <c r="T15" i="5" s="1"/>
  <c r="Q16" i="5"/>
  <c r="U16" i="5" s="1"/>
  <c r="R16" i="5"/>
  <c r="T16" i="5" s="1"/>
  <c r="Q17" i="5"/>
  <c r="U17" i="5" s="1"/>
  <c r="R17" i="5"/>
  <c r="T17" i="5" s="1"/>
  <c r="Q18" i="5"/>
  <c r="S18" i="5" s="1"/>
  <c r="R18" i="5"/>
  <c r="T18" i="5" s="1"/>
  <c r="Q19" i="5"/>
  <c r="U19" i="5" s="1"/>
  <c r="R19" i="5"/>
  <c r="T19" i="5" s="1"/>
  <c r="Q20" i="5"/>
  <c r="U20" i="5" s="1"/>
  <c r="R20" i="5"/>
  <c r="T20" i="5" s="1"/>
  <c r="R5" i="5"/>
  <c r="T5" i="5" s="1"/>
  <c r="Q5" i="5"/>
  <c r="S5" i="5" s="1"/>
  <c r="A25" i="5"/>
  <c r="B25" i="5"/>
  <c r="A26" i="5"/>
  <c r="B26" i="5"/>
  <c r="A27" i="5"/>
  <c r="B27" i="5"/>
  <c r="A27" i="4"/>
  <c r="A28" i="4"/>
  <c r="B27" i="4"/>
  <c r="B28" i="4"/>
  <c r="A25" i="3"/>
  <c r="A26" i="3"/>
  <c r="A27" i="3"/>
  <c r="B26" i="3"/>
  <c r="B27" i="3"/>
  <c r="A26" i="2"/>
  <c r="B26" i="2"/>
  <c r="A27" i="2"/>
  <c r="B27" i="2"/>
  <c r="B26" i="1"/>
  <c r="B27" i="1"/>
  <c r="A26" i="1"/>
  <c r="A27" i="1"/>
  <c r="U9" i="5" l="1"/>
  <c r="S9" i="5"/>
  <c r="U12" i="5"/>
  <c r="S12" i="5"/>
  <c r="V20" i="5"/>
  <c r="V19" i="5"/>
  <c r="V18" i="5"/>
  <c r="V17" i="5"/>
  <c r="V16" i="5"/>
  <c r="V15" i="5"/>
  <c r="V14" i="5"/>
  <c r="V13" i="5"/>
  <c r="V12" i="5"/>
  <c r="V11" i="5"/>
  <c r="T10" i="5"/>
  <c r="V9" i="5"/>
  <c r="T8" i="5"/>
  <c r="V7" i="5"/>
  <c r="V6" i="5"/>
  <c r="X21" i="4"/>
  <c r="X19" i="4"/>
  <c r="X17" i="4"/>
  <c r="X15" i="4"/>
  <c r="X13" i="4"/>
  <c r="X11" i="4"/>
  <c r="Z9" i="4"/>
  <c r="V31" i="4"/>
  <c r="X7" i="4"/>
  <c r="S8" i="5"/>
  <c r="S6" i="5"/>
  <c r="Y17" i="4"/>
  <c r="Y7" i="4"/>
  <c r="Y11" i="4"/>
  <c r="Y15" i="4"/>
  <c r="Y13" i="4"/>
  <c r="Y10" i="4"/>
  <c r="Y9" i="4"/>
  <c r="S20" i="5"/>
  <c r="S19" i="5"/>
  <c r="U18" i="5"/>
  <c r="S17" i="5"/>
  <c r="S16" i="5"/>
  <c r="S15" i="5"/>
  <c r="U14" i="5"/>
  <c r="S13" i="5"/>
  <c r="S11" i="5"/>
  <c r="U10" i="5"/>
  <c r="S7" i="5"/>
  <c r="Z16" i="4"/>
  <c r="Z14" i="4"/>
  <c r="Z8" i="4"/>
  <c r="Y18" i="4"/>
  <c r="Y14" i="4"/>
  <c r="X20" i="4"/>
  <c r="X18" i="4"/>
  <c r="X12" i="4"/>
  <c r="X10" i="4"/>
  <c r="Y20" i="4"/>
  <c r="Y16" i="4"/>
  <c r="Y12" i="4"/>
  <c r="Y8" i="4"/>
  <c r="U5" i="5"/>
  <c r="B25" i="3"/>
  <c r="Q35" i="5" l="1"/>
  <c r="Q34" i="5"/>
  <c r="Q33" i="5"/>
  <c r="C25" i="6"/>
  <c r="C26" i="6"/>
  <c r="C27" i="6"/>
  <c r="C28" i="6"/>
  <c r="C29" i="6"/>
  <c r="C30" i="6"/>
  <c r="C3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" i="6"/>
  <c r="A6" i="5" l="1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B5" i="5"/>
  <c r="A5" i="5"/>
  <c r="C31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B6" i="4"/>
  <c r="A6" i="4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B5" i="3"/>
  <c r="A5" i="3"/>
  <c r="A24" i="2"/>
  <c r="B24" i="2"/>
  <c r="A25" i="2"/>
  <c r="B25" i="2"/>
  <c r="A6" i="2"/>
  <c r="B6" i="2"/>
  <c r="A7" i="2"/>
  <c r="B7" i="2"/>
  <c r="A8" i="2"/>
  <c r="B8" i="2"/>
  <c r="A9" i="2"/>
  <c r="B9" i="2"/>
  <c r="A10" i="2"/>
  <c r="B10" i="2"/>
  <c r="A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B5" i="2"/>
  <c r="A5" i="2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5" i="1"/>
  <c r="P30" i="5"/>
  <c r="O30" i="5"/>
  <c r="L30" i="5"/>
  <c r="K30" i="5"/>
  <c r="J30" i="5"/>
  <c r="I30" i="5"/>
  <c r="H30" i="5"/>
  <c r="G30" i="5"/>
  <c r="F30" i="5"/>
  <c r="E30" i="5"/>
  <c r="D30" i="5"/>
  <c r="C30" i="5"/>
  <c r="V5" i="5"/>
  <c r="F31" i="4"/>
  <c r="E31" i="4"/>
  <c r="D31" i="4"/>
  <c r="Z6" i="4"/>
  <c r="J30" i="3"/>
  <c r="I30" i="3"/>
  <c r="H30" i="3"/>
  <c r="G30" i="3"/>
  <c r="F30" i="3"/>
  <c r="E30" i="3"/>
  <c r="D30" i="3"/>
  <c r="C30" i="3"/>
  <c r="L20" i="3"/>
  <c r="K20" i="3"/>
  <c r="O20" i="3" s="1"/>
  <c r="L19" i="3"/>
  <c r="K19" i="3"/>
  <c r="L18" i="3"/>
  <c r="K18" i="3"/>
  <c r="L17" i="3"/>
  <c r="K17" i="3"/>
  <c r="O17" i="3" s="1"/>
  <c r="L16" i="3"/>
  <c r="K16" i="3"/>
  <c r="O16" i="3" s="1"/>
  <c r="L15" i="3"/>
  <c r="K15" i="3"/>
  <c r="L14" i="3"/>
  <c r="K14" i="3"/>
  <c r="L13" i="3"/>
  <c r="K13" i="3"/>
  <c r="O13" i="3" s="1"/>
  <c r="L12" i="3"/>
  <c r="K12" i="3"/>
  <c r="O12" i="3" s="1"/>
  <c r="L11" i="3"/>
  <c r="K11" i="3"/>
  <c r="L10" i="3"/>
  <c r="K10" i="3"/>
  <c r="L9" i="3"/>
  <c r="K9" i="3"/>
  <c r="O9" i="3" s="1"/>
  <c r="L8" i="3"/>
  <c r="K8" i="3"/>
  <c r="O8" i="3" s="1"/>
  <c r="L7" i="3"/>
  <c r="K7" i="3"/>
  <c r="L6" i="3"/>
  <c r="K6" i="3"/>
  <c r="L5" i="3"/>
  <c r="K5" i="3"/>
  <c r="O5" i="3" s="1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V20" i="2"/>
  <c r="Z20" i="2" s="1"/>
  <c r="U20" i="2"/>
  <c r="V19" i="2"/>
  <c r="Z19" i="2" s="1"/>
  <c r="U19" i="2"/>
  <c r="V18" i="2"/>
  <c r="U18" i="2"/>
  <c r="V17" i="2"/>
  <c r="U17" i="2"/>
  <c r="V16" i="2"/>
  <c r="Z16" i="2" s="1"/>
  <c r="U16" i="2"/>
  <c r="V15" i="2"/>
  <c r="U15" i="2"/>
  <c r="V14" i="2"/>
  <c r="Z14" i="2" s="1"/>
  <c r="U14" i="2"/>
  <c r="V13" i="2"/>
  <c r="U13" i="2"/>
  <c r="V12" i="2"/>
  <c r="U12" i="2"/>
  <c r="V11" i="2"/>
  <c r="Z11" i="2" s="1"/>
  <c r="U11" i="2"/>
  <c r="V10" i="2"/>
  <c r="Z10" i="2" s="1"/>
  <c r="U10" i="2"/>
  <c r="V9" i="2"/>
  <c r="U9" i="2"/>
  <c r="V8" i="2"/>
  <c r="U8" i="2"/>
  <c r="V7" i="2"/>
  <c r="Z7" i="2" s="1"/>
  <c r="U7" i="2"/>
  <c r="V6" i="2"/>
  <c r="Z6" i="2" s="1"/>
  <c r="U6" i="2"/>
  <c r="V5" i="2"/>
  <c r="U5" i="2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X30" i="1" l="1"/>
  <c r="T30" i="1"/>
  <c r="P30" i="1"/>
  <c r="L30" i="1"/>
  <c r="H30" i="1"/>
  <c r="D30" i="1"/>
  <c r="W30" i="1"/>
  <c r="S30" i="1"/>
  <c r="O30" i="1"/>
  <c r="K30" i="1"/>
  <c r="G30" i="1"/>
  <c r="C30" i="1"/>
  <c r="V30" i="1"/>
  <c r="R30" i="1"/>
  <c r="N30" i="1"/>
  <c r="J30" i="1"/>
  <c r="F30" i="1"/>
  <c r="U30" i="1"/>
  <c r="Q30" i="1"/>
  <c r="M30" i="1"/>
  <c r="I30" i="1"/>
  <c r="E30" i="1"/>
  <c r="R35" i="5"/>
  <c r="R34" i="5"/>
  <c r="R33" i="5"/>
  <c r="AC13" i="1"/>
  <c r="AA13" i="1"/>
  <c r="AC19" i="1"/>
  <c r="AA19" i="1"/>
  <c r="X20" i="2"/>
  <c r="X14" i="2"/>
  <c r="X6" i="2"/>
  <c r="W6" i="4"/>
  <c r="Y6" i="4"/>
  <c r="M16" i="3"/>
  <c r="M13" i="3"/>
  <c r="M8" i="3"/>
  <c r="K30" i="3"/>
  <c r="M5" i="3"/>
  <c r="N7" i="3"/>
  <c r="P7" i="3"/>
  <c r="N10" i="3"/>
  <c r="P10" i="3"/>
  <c r="N15" i="3"/>
  <c r="P15" i="3"/>
  <c r="N18" i="3"/>
  <c r="P18" i="3"/>
  <c r="M6" i="3"/>
  <c r="O6" i="3"/>
  <c r="N9" i="3"/>
  <c r="P9" i="3"/>
  <c r="M11" i="3"/>
  <c r="O11" i="3"/>
  <c r="M12" i="3"/>
  <c r="M14" i="3"/>
  <c r="O14" i="3"/>
  <c r="N17" i="3"/>
  <c r="P17" i="3"/>
  <c r="M19" i="3"/>
  <c r="O19" i="3"/>
  <c r="M20" i="3"/>
  <c r="N20" i="3"/>
  <c r="P20" i="3"/>
  <c r="N6" i="3"/>
  <c r="P6" i="3"/>
  <c r="N8" i="3"/>
  <c r="P8" i="3"/>
  <c r="M9" i="3"/>
  <c r="N11" i="3"/>
  <c r="P11" i="3"/>
  <c r="N14" i="3"/>
  <c r="P14" i="3"/>
  <c r="N16" i="3"/>
  <c r="P16" i="3"/>
  <c r="M17" i="3"/>
  <c r="N19" i="3"/>
  <c r="P19" i="3"/>
  <c r="L30" i="3"/>
  <c r="N12" i="3"/>
  <c r="P12" i="3"/>
  <c r="N5" i="3"/>
  <c r="P5" i="3"/>
  <c r="M7" i="3"/>
  <c r="O7" i="3"/>
  <c r="M10" i="3"/>
  <c r="O10" i="3"/>
  <c r="N13" i="3"/>
  <c r="P13" i="3"/>
  <c r="M15" i="3"/>
  <c r="O15" i="3"/>
  <c r="M18" i="3"/>
  <c r="O18" i="3"/>
  <c r="W8" i="2"/>
  <c r="Y8" i="2"/>
  <c r="W9" i="2"/>
  <c r="Y9" i="2"/>
  <c r="X10" i="2"/>
  <c r="W12" i="2"/>
  <c r="Y12" i="2"/>
  <c r="W14" i="2"/>
  <c r="Y14" i="2"/>
  <c r="X15" i="2"/>
  <c r="Z15" i="2"/>
  <c r="X17" i="2"/>
  <c r="Z17" i="2"/>
  <c r="W10" i="2"/>
  <c r="Y10" i="2"/>
  <c r="W13" i="2"/>
  <c r="Y13" i="2"/>
  <c r="W6" i="2"/>
  <c r="Y6" i="2"/>
  <c r="X7" i="2"/>
  <c r="X9" i="2"/>
  <c r="Z9" i="2"/>
  <c r="W11" i="2"/>
  <c r="Y11" i="2"/>
  <c r="X12" i="2"/>
  <c r="Z12" i="2"/>
  <c r="W16" i="2"/>
  <c r="Y16" i="2"/>
  <c r="W18" i="2"/>
  <c r="Y18" i="2"/>
  <c r="X19" i="2"/>
  <c r="W5" i="2"/>
  <c r="Y5" i="2"/>
  <c r="X18" i="2"/>
  <c r="Z18" i="2"/>
  <c r="W20" i="2"/>
  <c r="Y20" i="2"/>
  <c r="V30" i="2"/>
  <c r="Z5" i="2"/>
  <c r="W7" i="2"/>
  <c r="Y7" i="2"/>
  <c r="X8" i="2"/>
  <c r="Z8" i="2"/>
  <c r="X11" i="2"/>
  <c r="X13" i="2"/>
  <c r="Z13" i="2"/>
  <c r="W15" i="2"/>
  <c r="Y15" i="2"/>
  <c r="W17" i="2"/>
  <c r="Y17" i="2"/>
  <c r="W19" i="2"/>
  <c r="Y19" i="2"/>
  <c r="AC7" i="1"/>
  <c r="AA7" i="1"/>
  <c r="AD20" i="1"/>
  <c r="AB20" i="1"/>
  <c r="AD19" i="1"/>
  <c r="AB19" i="1"/>
  <c r="AD18" i="1"/>
  <c r="AB18" i="1"/>
  <c r="AD16" i="1"/>
  <c r="AB16" i="1"/>
  <c r="AB17" i="1"/>
  <c r="AD17" i="1"/>
  <c r="AD15" i="1"/>
  <c r="AB15" i="1"/>
  <c r="AD14" i="1"/>
  <c r="AB14" i="1"/>
  <c r="AD12" i="1"/>
  <c r="AB12" i="1"/>
  <c r="AD11" i="1"/>
  <c r="AB11" i="1"/>
  <c r="AD10" i="1"/>
  <c r="AB10" i="1"/>
  <c r="AD9" i="1"/>
  <c r="AB9" i="1"/>
  <c r="AD8" i="1"/>
  <c r="AB8" i="1"/>
  <c r="AD7" i="1"/>
  <c r="AB7" i="1"/>
  <c r="AD6" i="1"/>
  <c r="AB6" i="1"/>
  <c r="AD5" i="1"/>
  <c r="AA20" i="1"/>
  <c r="AC20" i="1"/>
  <c r="AA18" i="1"/>
  <c r="AC18" i="1"/>
  <c r="AA17" i="1"/>
  <c r="AC17" i="1"/>
  <c r="AA16" i="1"/>
  <c r="AC16" i="1"/>
  <c r="AC15" i="1"/>
  <c r="AA15" i="1"/>
  <c r="AA14" i="1"/>
  <c r="AC14" i="1"/>
  <c r="AA12" i="1"/>
  <c r="AC12" i="1"/>
  <c r="AA11" i="1"/>
  <c r="AC11" i="1"/>
  <c r="AA10" i="1"/>
  <c r="AC10" i="1"/>
  <c r="AA9" i="1"/>
  <c r="AC9" i="1"/>
  <c r="AC6" i="1"/>
  <c r="AA6" i="1"/>
  <c r="AC8" i="1"/>
  <c r="AA8" i="1"/>
  <c r="AC5" i="1"/>
  <c r="AB13" i="1"/>
  <c r="AD13" i="1"/>
  <c r="Q30" i="5"/>
  <c r="R30" i="5"/>
  <c r="U31" i="4"/>
  <c r="X5" i="2"/>
  <c r="U30" i="2"/>
  <c r="X6" i="4"/>
  <c r="O34" i="3" l="1"/>
  <c r="O33" i="2"/>
  <c r="AA30" i="1"/>
  <c r="W35" i="1"/>
  <c r="Y30" i="1"/>
  <c r="Z30" i="1"/>
  <c r="T30" i="5"/>
  <c r="T36" i="4"/>
  <c r="T34" i="4"/>
  <c r="X31" i="4"/>
  <c r="T35" i="4"/>
  <c r="S35" i="4"/>
  <c r="S34" i="4"/>
  <c r="S36" i="4"/>
  <c r="W31" i="4"/>
  <c r="S30" i="5"/>
  <c r="M30" i="3"/>
  <c r="N30" i="3"/>
  <c r="O33" i="3"/>
  <c r="O35" i="3"/>
  <c r="P33" i="3"/>
  <c r="P35" i="3"/>
  <c r="P34" i="3"/>
  <c r="W30" i="2"/>
  <c r="P35" i="2"/>
  <c r="P34" i="2"/>
  <c r="P33" i="2"/>
  <c r="X30" i="2"/>
  <c r="O34" i="2"/>
  <c r="O35" i="2"/>
  <c r="W34" i="1"/>
  <c r="W33" i="1"/>
  <c r="AB30" i="1"/>
  <c r="X34" i="1"/>
  <c r="X33" i="1"/>
  <c r="X35" i="1"/>
</calcChain>
</file>

<file path=xl/sharedStrings.xml><?xml version="1.0" encoding="utf-8"?>
<sst xmlns="http://schemas.openxmlformats.org/spreadsheetml/2006/main" count="247" uniqueCount="88">
  <si>
    <t>Образовательная область «Социально-коммуникативное развитие»</t>
  </si>
  <si>
    <t>№ п/п</t>
  </si>
  <si>
    <t>Ф.И.О. ребенка</t>
  </si>
  <si>
    <t>Итоговый показатель по каждому ребенку (среднее значение)</t>
  </si>
  <si>
    <t>Итоговое значение по  каждому ребенку (проценты)</t>
  </si>
  <si>
    <t>май</t>
  </si>
  <si>
    <t>Итоговый показа­тель по группе (сред­нее значение)</t>
  </si>
  <si>
    <t>Образовательная область «Познавательное развитие»</t>
  </si>
  <si>
    <t>Ф.И.О. ребенок</t>
  </si>
  <si>
    <t>Итоговый показатель по каждому ребенку (проценты)</t>
  </si>
  <si>
    <t>сент</t>
  </si>
  <si>
    <t>Образовательная область «Речевое развитие»</t>
  </si>
  <si>
    <t>Образовательная область «Художественно-эстетическое развитие»</t>
  </si>
  <si>
    <t>Образовательная область «Физическое развитие»</t>
  </si>
  <si>
    <t>Номер</t>
  </si>
  <si>
    <t>Фамилия Имя</t>
  </si>
  <si>
    <t>Детей &lt;50%</t>
  </si>
  <si>
    <t>Детей 50%-75%</t>
  </si>
  <si>
    <t>Итоговое значение по  каждому ребенку
(по группам)</t>
  </si>
  <si>
    <t>Детей 75-100%</t>
  </si>
  <si>
    <t>сент.</t>
  </si>
  <si>
    <t>-</t>
  </si>
  <si>
    <t xml:space="preserve">Общее число детей </t>
  </si>
  <si>
    <t>Май</t>
  </si>
  <si>
    <t>Сент.</t>
  </si>
  <si>
    <t xml:space="preserve">Владеет элементарной трудовой деятельностью. Владеет навыками самообслуживания (одевается, раздевается, складывает одежду, растегивает пуговицы). Приводит в порядок свою одежду, обувь при небольшой помощи взрослых. </t>
  </si>
  <si>
    <t xml:space="preserve"> Замечает ярко выраженное настроение взрослых и детей (смех, плач, радость, злость).</t>
  </si>
  <si>
    <t>Позвательно-исследовательская деятельность. Эксперементирует с предметами и материалами (Тонут ли предметы?, Когда застывает вода?, Что будет, если смешать холодную воду с горячей?) Замечает существующие в окружающем мире простые закономерности ("Идет дождь - появились лужи")</t>
  </si>
  <si>
    <t>Конструирование. Самостоятельно конструирует несложные посторойки из двух - трех деталей. Создает постройки "по сюжету" (дом, машина)</t>
  </si>
  <si>
    <t xml:space="preserve">Сравнивает два предмета по заданному признаку величины (длина, высота, ширина), обозначает словами результат сравнения. </t>
  </si>
  <si>
    <t>Находит в окружающей обстановке один и много одинаковых предметов. Понимает смысл слов: утро, день, вечер, ночь.</t>
  </si>
  <si>
    <t>Осуществляет сенсорный анализ, выделяя ярко выраженные в предметах качества и свойства ("Пирамидка большая, ее кольца разного цвета, кольца большие и маленькие") Собирает одноцветные и разноцветные пирамидки из 4-5 деталей.</t>
  </si>
  <si>
    <t xml:space="preserve">Умеет действовать как по образцу, так и самостоятельно, по собственному замыслу. Различает цвета, подбирает цвета, соответствующие изображаемым предметам. </t>
  </si>
  <si>
    <t>Лепит предметы из 1 - 3 частей, используя разнообразные приемы лепки: скатывание, сплющивание, соединение, защипывание.</t>
  </si>
  <si>
    <t xml:space="preserve">Знает, называет и правильно использует изобразительные материалы, правильно работает карандашом и кистью. </t>
  </si>
  <si>
    <t>Изображает простейшие предметы и  явления действительности, испоьзуя округлые, наклонные, длинные, короткие, пересекающиеся линии.</t>
  </si>
  <si>
    <t>Сохраняет равновесие, перешагивая через предметы. Умеет ползать на четвереньках, лазать по лесенке - стремянке, гимнастической стенке произвольным способом.</t>
  </si>
  <si>
    <t>Осуществляет прыжки на двух ногах, прыжок в дину с места с мягким приземлением.</t>
  </si>
  <si>
    <t>Умеет бросать мяч из-за головы, от груди, ударять им несколько раз об пол, катать мяч, ловить его.</t>
  </si>
  <si>
    <t xml:space="preserve">Самостоятельно моет лицо и руки, пользуется носовым платком. Следит за внешним видом, опрятен. </t>
  </si>
  <si>
    <t>Ест аккуратно (пищу берет врот небольшими порциями, не крошит хлеб, не проливает пищу, тщательно ее пережевывает).</t>
  </si>
  <si>
    <t>Итоговый показатель по группе (среднее значение)</t>
  </si>
  <si>
    <t xml:space="preserve">Создает изображения предметов из готовых  бумажных фигур, украшает заготовки из бумаги разной формы. Умеет пользоваться клеем. </t>
  </si>
  <si>
    <t>Слушает музыкальные произведения до конца, узнает знакомые песни. Замечает изменения в звучании музыки (тихо, громко, высоко - низко, быстро - медленно)</t>
  </si>
  <si>
    <t>Ребенок 15</t>
  </si>
  <si>
    <t>Ребенок 16</t>
  </si>
  <si>
    <t>Ребенок 17</t>
  </si>
  <si>
    <t>Ребенок 18</t>
  </si>
  <si>
    <t>Ребенок 19</t>
  </si>
  <si>
    <t>Ребенок 20</t>
  </si>
  <si>
    <t>Бобрышев Мрон</t>
  </si>
  <si>
    <t>Буяновская Варвара</t>
  </si>
  <si>
    <t>Визиров Саша</t>
  </si>
  <si>
    <t>Волкова Аня</t>
  </si>
  <si>
    <t>Волков Даня</t>
  </si>
  <si>
    <t>Григорьева Эмилия</t>
  </si>
  <si>
    <t>Головастов Вова</t>
  </si>
  <si>
    <t>Ковалев Богдан</t>
  </si>
  <si>
    <t>Назаренко Максим</t>
  </si>
  <si>
    <t>Пеньков Лев</t>
  </si>
  <si>
    <t>Скворцова Вероника</t>
  </si>
  <si>
    <t>Самордин Аким</t>
  </si>
  <si>
    <t>Франк Гектор</t>
  </si>
  <si>
    <t>Швыдченко Кирилл</t>
  </si>
  <si>
    <t>Воспитатели: Миронова Н.А., Точилкина О.С.</t>
  </si>
  <si>
    <t>Различает взрослых и детей, мальчиков и девочек по ярким признакам</t>
  </si>
  <si>
    <t>Имеет представление о себе (узнает на фото), о своем возрасте, поле, показывает основные части своего лица и тела.</t>
  </si>
  <si>
    <t>Правильно оринтируется в пространстве группы.</t>
  </si>
  <si>
    <t>Узнает (на фотографии) и называет членов своей семьи.</t>
  </si>
  <si>
    <t>Выполняет элементарные правила поведения ("можно", "нельзя").</t>
  </si>
  <si>
    <t>Соблюдает правила поведения в группе и на улице (не мешает другим детям, не ломает то, что сделано руками других, ведет себя спокойно). Демонстрирует правила общения: здоровается, прощается, благодарит.</t>
  </si>
  <si>
    <t>Умеет в бытовых ситуациях действовать по словестной инструкции, по показу. Проявляет интерес к участию в подвижных,музыкальных, сюжетных и хороводных играх.</t>
  </si>
  <si>
    <t>Имеет представление об игрушках, способах их использования, проявляет предпочтения в выборе игрушек.</t>
  </si>
  <si>
    <t>Сенсорное развитие. Различает и называет основные цвета, группирует по цвету,форме, величине. Различает геометрические фигуры: круг, квадрат, треуголник, называет их.</t>
  </si>
  <si>
    <t>РЭМП        Находит и группирует предметы по указанным свойствам, сравнивает предметы, испоьзуя приемы наложения, приложения. Различает круг, квадрат, треуголник, соотносит с предметами, имеющими углы и круглую форму</t>
  </si>
  <si>
    <t>Понимает смысл обозначений, количество в двух группах: много и много, много и мало, много и один.</t>
  </si>
  <si>
    <t>Ознакомление с природным окружением. Знает о внешнем облике человека, о его физических особенностях (голова,руки,ноги и т.д). Различает домашних и диких животных и их детенышей. Имеет представления о растениях ближайшего окружения (деревья, овощи, фрукты). Проявляет интерес к объектам неживой природы (солнце,небо, песок,вода), явлениям природы.</t>
  </si>
  <si>
    <t>Связная речь: Отвечает на разнообразные вопросы взрослого (в пределах ближайшего окружения). Проявляет активность в общении. Понимает обращенную речь</t>
  </si>
  <si>
    <t>Художественная литература: Слушает до конца небольшие потешки.сказки. Умеет рассматривать книги и иллюстрации,умеет воспроизводить движения в соответствии с ритмом и темпом стихотворного произведения</t>
  </si>
  <si>
    <t>Формирование словаря: Пользуется существительными обозначающие предметы ближайшего окружения, пользуется прилагательными, глаголами обозначающие трудовые действия</t>
  </si>
  <si>
    <t>Звуковая культура речи: Умеет говорить внятно, не торопясь. Использует разные по сложности слова необходимые для выражения мысли, эмоционально окрашивает речь</t>
  </si>
  <si>
    <t>Приобщение к исскуству: Может смотреть, слушать и испытывать радость в процессе ознакомления с изобразительным и музыкальным исскуством, природой. Проявляет интерес к фольклеру (потешки, прибаутки)</t>
  </si>
  <si>
    <t>Конструктивная деятельность: Умеет сооружать элементарные постройки, ознакомлен с деталями (кубик, кирпичик). Пользуется сюжетными игрушками. Убирает конструктор на место.</t>
  </si>
  <si>
    <t>Умеет выполнять танцевальные движения: хлопать, притопывать ногой, приседать, совершать повороты. Умеет слышать начало и конец музыки. Умеет передавать образы (птичка летает, зайка прыгает и т.д.) под музыку.</t>
  </si>
  <si>
    <t>Умеет ходить прямо, свободно, не шаркая ногами, сохраняя заданное направление. Умеет бегать, сохраняя равновесие, менять напрвление в беге, темп бега в соответствии с указаниями педагога.</t>
  </si>
  <si>
    <t>Проявляет интерес к подвижным играм с простым содержанием</t>
  </si>
  <si>
    <t>Имеет представления о посуде, способах ее использования, проявляет самостоятельность в приеме пищи.</t>
  </si>
  <si>
    <t>Воспитатели Миронова Н.А., Точилкина О.С.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</si>
</sst>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b/>
      <sz val="11"/>
      <color rgb="FF000000"/>
      <name val="Times New Roman"/>
      <family val="1"/>
      <charset val="204"/>
    </font>
    <font>
      <sz val="14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1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top" wrapText="1"/>
    </xf>
    <xf numFmtId="9" fontId="4" fillId="0" borderId="1" xfId="0" applyNumberFormat="1" applyFont="1" applyBorder="1" applyAlignment="1">
      <alignment horizontal="center" vertical="top" wrapText="1"/>
    </xf>
    <xf numFmtId="2" fontId="4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2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64" fontId="4" fillId="0" borderId="0" xfId="0" applyNumberFormat="1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center" vertical="top" wrapText="1"/>
    </xf>
    <xf numFmtId="9" fontId="4" fillId="3" borderId="1" xfId="0" applyNumberFormat="1" applyFont="1" applyFill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9" fontId="1" fillId="3" borderId="1" xfId="0" applyNumberFormat="1" applyFont="1" applyFill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9" fontId="1" fillId="0" borderId="1" xfId="1" applyFont="1" applyBorder="1" applyAlignment="1">
      <alignment horizontal="center" vertical="top" wrapText="1"/>
    </xf>
    <xf numFmtId="9" fontId="1" fillId="3" borderId="1" xfId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1" fontId="4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2" fontId="4" fillId="3" borderId="1" xfId="0" applyNumberFormat="1" applyFont="1" applyFill="1" applyBorder="1" applyAlignment="1">
      <alignment horizontal="center" vertical="top" wrapText="1"/>
    </xf>
    <xf numFmtId="2" fontId="1" fillId="3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9A29-04BF-44D0-A879-0D68DD851811}">
  <dimension ref="A1:C34"/>
  <sheetViews>
    <sheetView tabSelected="1" zoomScale="70" zoomScaleNormal="70" workbookViewId="0">
      <selection activeCell="E23" sqref="E23"/>
    </sheetView>
  </sheetViews>
  <sheetFormatPr defaultRowHeight="15" x14ac:dyDescent="0.25"/>
  <cols>
    <col min="1" max="1" width="9.140625" style="5"/>
    <col min="2" max="2" width="32.5703125" customWidth="1"/>
  </cols>
  <sheetData>
    <row r="1" spans="1:3" ht="15.75" x14ac:dyDescent="0.25">
      <c r="A1" s="4" t="s">
        <v>14</v>
      </c>
      <c r="B1" s="4" t="s">
        <v>15</v>
      </c>
    </row>
    <row r="2" spans="1:3" ht="15.75" x14ac:dyDescent="0.25">
      <c r="A2" s="4">
        <v>1</v>
      </c>
      <c r="B2" s="3" t="s">
        <v>50</v>
      </c>
      <c r="C2">
        <f>IF(B2="-",0,1)</f>
        <v>1</v>
      </c>
    </row>
    <row r="3" spans="1:3" ht="15.75" x14ac:dyDescent="0.25">
      <c r="A3" s="4">
        <v>2</v>
      </c>
      <c r="B3" s="3" t="s">
        <v>51</v>
      </c>
      <c r="C3">
        <f>IF(B3="-",0,1)</f>
        <v>1</v>
      </c>
    </row>
    <row r="4" spans="1:3" ht="15.75" x14ac:dyDescent="0.25">
      <c r="A4" s="4">
        <v>3</v>
      </c>
      <c r="B4" s="3" t="s">
        <v>52</v>
      </c>
      <c r="C4">
        <f t="shared" ref="C4:C31" si="0">IF(B4="-",0,1)</f>
        <v>1</v>
      </c>
    </row>
    <row r="5" spans="1:3" ht="15.75" x14ac:dyDescent="0.25">
      <c r="A5" s="4">
        <v>4</v>
      </c>
      <c r="B5" s="3" t="s">
        <v>53</v>
      </c>
      <c r="C5">
        <f t="shared" si="0"/>
        <v>1</v>
      </c>
    </row>
    <row r="6" spans="1:3" ht="15.75" x14ac:dyDescent="0.25">
      <c r="A6" s="4">
        <v>5</v>
      </c>
      <c r="B6" s="3" t="s">
        <v>54</v>
      </c>
      <c r="C6">
        <f t="shared" si="0"/>
        <v>1</v>
      </c>
    </row>
    <row r="7" spans="1:3" ht="15.75" x14ac:dyDescent="0.25">
      <c r="A7" s="4">
        <v>6</v>
      </c>
      <c r="B7" s="3" t="s">
        <v>55</v>
      </c>
      <c r="C7">
        <f t="shared" si="0"/>
        <v>1</v>
      </c>
    </row>
    <row r="8" spans="1:3" ht="15.75" x14ac:dyDescent="0.25">
      <c r="A8" s="4">
        <v>7</v>
      </c>
      <c r="B8" s="3" t="s">
        <v>56</v>
      </c>
      <c r="C8">
        <f t="shared" si="0"/>
        <v>1</v>
      </c>
    </row>
    <row r="9" spans="1:3" ht="15.75" x14ac:dyDescent="0.25">
      <c r="A9" s="4">
        <v>8</v>
      </c>
      <c r="B9" s="3" t="s">
        <v>57</v>
      </c>
      <c r="C9">
        <f t="shared" si="0"/>
        <v>1</v>
      </c>
    </row>
    <row r="10" spans="1:3" ht="15.75" x14ac:dyDescent="0.25">
      <c r="A10" s="4">
        <v>9</v>
      </c>
      <c r="B10" s="3" t="s">
        <v>58</v>
      </c>
      <c r="C10">
        <f t="shared" si="0"/>
        <v>1</v>
      </c>
    </row>
    <row r="11" spans="1:3" ht="15.75" x14ac:dyDescent="0.25">
      <c r="A11" s="4">
        <v>10</v>
      </c>
      <c r="B11" s="3" t="s">
        <v>59</v>
      </c>
      <c r="C11">
        <f t="shared" si="0"/>
        <v>1</v>
      </c>
    </row>
    <row r="12" spans="1:3" ht="15.75" x14ac:dyDescent="0.25">
      <c r="A12" s="4">
        <v>11</v>
      </c>
      <c r="B12" s="3" t="s">
        <v>60</v>
      </c>
      <c r="C12">
        <f t="shared" si="0"/>
        <v>1</v>
      </c>
    </row>
    <row r="13" spans="1:3" ht="15.75" x14ac:dyDescent="0.25">
      <c r="A13" s="4">
        <v>12</v>
      </c>
      <c r="B13" s="3" t="s">
        <v>61</v>
      </c>
      <c r="C13">
        <f t="shared" si="0"/>
        <v>1</v>
      </c>
    </row>
    <row r="14" spans="1:3" ht="15.75" x14ac:dyDescent="0.25">
      <c r="A14" s="4">
        <v>13</v>
      </c>
      <c r="B14" s="3" t="s">
        <v>62</v>
      </c>
      <c r="C14">
        <f t="shared" si="0"/>
        <v>1</v>
      </c>
    </row>
    <row r="15" spans="1:3" ht="15.75" x14ac:dyDescent="0.25">
      <c r="A15" s="4">
        <v>14</v>
      </c>
      <c r="B15" s="3" t="s">
        <v>63</v>
      </c>
      <c r="C15">
        <f t="shared" si="0"/>
        <v>1</v>
      </c>
    </row>
    <row r="16" spans="1:3" ht="15.75" x14ac:dyDescent="0.25">
      <c r="A16" s="4">
        <v>15</v>
      </c>
      <c r="B16" s="3" t="s">
        <v>44</v>
      </c>
      <c r="C16">
        <f t="shared" si="0"/>
        <v>1</v>
      </c>
    </row>
    <row r="17" spans="1:3" ht="15.75" x14ac:dyDescent="0.25">
      <c r="A17" s="4">
        <v>16</v>
      </c>
      <c r="B17" s="3" t="s">
        <v>45</v>
      </c>
      <c r="C17">
        <f t="shared" si="0"/>
        <v>1</v>
      </c>
    </row>
    <row r="18" spans="1:3" ht="15.75" x14ac:dyDescent="0.25">
      <c r="A18" s="4">
        <v>17</v>
      </c>
      <c r="B18" s="3" t="s">
        <v>46</v>
      </c>
      <c r="C18">
        <f t="shared" si="0"/>
        <v>1</v>
      </c>
    </row>
    <row r="19" spans="1:3" ht="15.75" x14ac:dyDescent="0.25">
      <c r="A19" s="4">
        <v>18</v>
      </c>
      <c r="B19" s="3" t="s">
        <v>47</v>
      </c>
      <c r="C19">
        <f>IF(B19="-",0,1)</f>
        <v>1</v>
      </c>
    </row>
    <row r="20" spans="1:3" ht="15.75" x14ac:dyDescent="0.25">
      <c r="A20" s="4">
        <v>19</v>
      </c>
      <c r="B20" s="3" t="s">
        <v>48</v>
      </c>
      <c r="C20">
        <f t="shared" si="0"/>
        <v>1</v>
      </c>
    </row>
    <row r="21" spans="1:3" ht="15.75" x14ac:dyDescent="0.25">
      <c r="A21" s="4">
        <v>20</v>
      </c>
      <c r="B21" s="3" t="s">
        <v>49</v>
      </c>
      <c r="C21">
        <f t="shared" si="0"/>
        <v>1</v>
      </c>
    </row>
    <row r="22" spans="1:3" ht="15.75" x14ac:dyDescent="0.25">
      <c r="A22" s="4">
        <v>21</v>
      </c>
      <c r="B22" s="3" t="s">
        <v>21</v>
      </c>
      <c r="C22">
        <f t="shared" si="0"/>
        <v>0</v>
      </c>
    </row>
    <row r="23" spans="1:3" ht="15.75" x14ac:dyDescent="0.25">
      <c r="A23" s="4">
        <v>22</v>
      </c>
      <c r="B23" s="3" t="s">
        <v>21</v>
      </c>
      <c r="C23">
        <f t="shared" si="0"/>
        <v>0</v>
      </c>
    </row>
    <row r="24" spans="1:3" ht="15.75" x14ac:dyDescent="0.25">
      <c r="A24" s="4">
        <v>23</v>
      </c>
      <c r="B24" s="3" t="s">
        <v>21</v>
      </c>
      <c r="C24">
        <f t="shared" si="0"/>
        <v>0</v>
      </c>
    </row>
    <row r="25" spans="1:3" ht="15.75" x14ac:dyDescent="0.25">
      <c r="A25" s="4">
        <v>24</v>
      </c>
      <c r="B25" s="3" t="s">
        <v>21</v>
      </c>
      <c r="C25">
        <f>IF(B25="-",0,1)</f>
        <v>0</v>
      </c>
    </row>
    <row r="26" spans="1:3" ht="15.75" x14ac:dyDescent="0.25">
      <c r="A26" s="4">
        <v>25</v>
      </c>
      <c r="B26" s="3" t="s">
        <v>21</v>
      </c>
      <c r="C26">
        <f t="shared" si="0"/>
        <v>0</v>
      </c>
    </row>
    <row r="27" spans="1:3" ht="15.75" x14ac:dyDescent="0.25">
      <c r="A27" s="4">
        <v>26</v>
      </c>
      <c r="B27" s="3" t="s">
        <v>21</v>
      </c>
      <c r="C27">
        <f t="shared" si="0"/>
        <v>0</v>
      </c>
    </row>
    <row r="28" spans="1:3" ht="15.75" x14ac:dyDescent="0.25">
      <c r="A28" s="4">
        <v>27</v>
      </c>
      <c r="B28" s="3" t="s">
        <v>21</v>
      </c>
      <c r="C28">
        <f t="shared" si="0"/>
        <v>0</v>
      </c>
    </row>
    <row r="29" spans="1:3" ht="15.75" x14ac:dyDescent="0.25">
      <c r="A29" s="4">
        <v>28</v>
      </c>
      <c r="B29" s="3" t="s">
        <v>21</v>
      </c>
      <c r="C29">
        <f t="shared" si="0"/>
        <v>0</v>
      </c>
    </row>
    <row r="30" spans="1:3" ht="15.75" x14ac:dyDescent="0.25">
      <c r="A30" s="4">
        <v>29</v>
      </c>
      <c r="B30" s="3" t="s">
        <v>21</v>
      </c>
      <c r="C30">
        <f t="shared" si="0"/>
        <v>0</v>
      </c>
    </row>
    <row r="31" spans="1:3" ht="15.75" x14ac:dyDescent="0.25">
      <c r="A31" s="4">
        <v>30</v>
      </c>
      <c r="B31" s="3" t="s">
        <v>21</v>
      </c>
      <c r="C31">
        <f t="shared" si="0"/>
        <v>0</v>
      </c>
    </row>
    <row r="34" spans="2:3" ht="15.75" x14ac:dyDescent="0.25">
      <c r="B34" s="40" t="s">
        <v>22</v>
      </c>
      <c r="C34" s="40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39"/>
  <sheetViews>
    <sheetView zoomScale="70" zoomScaleNormal="70" workbookViewId="0">
      <selection activeCell="C3" sqref="C3:D3"/>
    </sheetView>
  </sheetViews>
  <sheetFormatPr defaultRowHeight="15" x14ac:dyDescent="0.25"/>
  <cols>
    <col min="1" max="1" width="4" bestFit="1" customWidth="1"/>
    <col min="2" max="2" width="33" customWidth="1"/>
    <col min="3" max="20" width="8.7109375" customWidth="1"/>
    <col min="21" max="22" width="9.140625" style="1" customWidth="1"/>
    <col min="23" max="24" width="8.7109375" customWidth="1"/>
    <col min="25" max="25" width="10.5703125" bestFit="1" customWidth="1"/>
    <col min="26" max="26" width="10.5703125" customWidth="1"/>
    <col min="27" max="1025" width="8.7109375" customWidth="1"/>
  </cols>
  <sheetData>
    <row r="1" spans="1:28" x14ac:dyDescent="0.25">
      <c r="A1" s="6"/>
      <c r="B1" s="17" t="s">
        <v>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7"/>
      <c r="W1" s="6"/>
      <c r="X1" s="6"/>
    </row>
    <row r="2" spans="1:28" x14ac:dyDescent="0.25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6"/>
      <c r="X2" s="6"/>
    </row>
    <row r="3" spans="1:28" ht="363.75" customHeight="1" x14ac:dyDescent="0.25">
      <c r="A3" s="47" t="s">
        <v>1</v>
      </c>
      <c r="B3" s="48" t="s">
        <v>8</v>
      </c>
      <c r="C3" s="46" t="s">
        <v>73</v>
      </c>
      <c r="D3" s="47"/>
      <c r="E3" s="46" t="s">
        <v>31</v>
      </c>
      <c r="F3" s="47"/>
      <c r="G3" s="46" t="s">
        <v>27</v>
      </c>
      <c r="H3" s="47"/>
      <c r="I3" s="47" t="s">
        <v>28</v>
      </c>
      <c r="J3" s="47"/>
      <c r="K3" s="46" t="s">
        <v>76</v>
      </c>
      <c r="L3" s="47"/>
      <c r="M3" s="46" t="s">
        <v>74</v>
      </c>
      <c r="N3" s="47"/>
      <c r="O3" s="47" t="s">
        <v>29</v>
      </c>
      <c r="P3" s="47"/>
      <c r="Q3" s="46" t="s">
        <v>30</v>
      </c>
      <c r="R3" s="47"/>
      <c r="S3" s="46" t="s">
        <v>75</v>
      </c>
      <c r="T3" s="47"/>
      <c r="U3" s="45" t="s">
        <v>3</v>
      </c>
      <c r="V3" s="45"/>
      <c r="W3" s="45" t="s">
        <v>9</v>
      </c>
      <c r="X3" s="45"/>
      <c r="Y3" s="45" t="s">
        <v>18</v>
      </c>
      <c r="Z3" s="45"/>
    </row>
    <row r="4" spans="1:28" x14ac:dyDescent="0.25">
      <c r="A4" s="47"/>
      <c r="B4" s="48"/>
      <c r="C4" s="8" t="s">
        <v>10</v>
      </c>
      <c r="D4" s="9" t="s">
        <v>5</v>
      </c>
      <c r="E4" s="8" t="s">
        <v>10</v>
      </c>
      <c r="F4" s="9" t="s">
        <v>5</v>
      </c>
      <c r="G4" s="8" t="s">
        <v>10</v>
      </c>
      <c r="H4" s="9" t="s">
        <v>5</v>
      </c>
      <c r="I4" s="8" t="s">
        <v>10</v>
      </c>
      <c r="J4" s="9" t="s">
        <v>5</v>
      </c>
      <c r="K4" s="8" t="s">
        <v>10</v>
      </c>
      <c r="L4" s="9" t="s">
        <v>5</v>
      </c>
      <c r="M4" s="8" t="s">
        <v>10</v>
      </c>
      <c r="N4" s="9" t="s">
        <v>5</v>
      </c>
      <c r="O4" s="8" t="s">
        <v>10</v>
      </c>
      <c r="P4" s="9" t="s">
        <v>5</v>
      </c>
      <c r="Q4" s="8" t="s">
        <v>10</v>
      </c>
      <c r="R4" s="9" t="s">
        <v>5</v>
      </c>
      <c r="S4" s="8" t="s">
        <v>10</v>
      </c>
      <c r="T4" s="9" t="s">
        <v>5</v>
      </c>
      <c r="U4" s="27" t="s">
        <v>10</v>
      </c>
      <c r="V4" s="28" t="s">
        <v>5</v>
      </c>
      <c r="W4" s="27" t="s">
        <v>10</v>
      </c>
      <c r="X4" s="28" t="s">
        <v>5</v>
      </c>
      <c r="Y4" s="27" t="s">
        <v>20</v>
      </c>
      <c r="Z4" s="28" t="s">
        <v>5</v>
      </c>
    </row>
    <row r="5" spans="1:28" ht="22.5" customHeight="1" x14ac:dyDescent="0.25">
      <c r="A5" s="8">
        <f>'Список детей'!A2</f>
        <v>1</v>
      </c>
      <c r="B5" s="24" t="str">
        <f>'Список детей'!B2</f>
        <v>Бобрышев Мрон</v>
      </c>
      <c r="C5" s="8">
        <v>2</v>
      </c>
      <c r="D5" s="9"/>
      <c r="E5" s="8">
        <v>2</v>
      </c>
      <c r="F5" s="9"/>
      <c r="G5" s="8">
        <v>2</v>
      </c>
      <c r="H5" s="9"/>
      <c r="I5" s="8">
        <v>2</v>
      </c>
      <c r="J5" s="9"/>
      <c r="K5" s="8">
        <v>2</v>
      </c>
      <c r="L5" s="9"/>
      <c r="M5" s="8">
        <v>2</v>
      </c>
      <c r="N5" s="9"/>
      <c r="O5" s="8">
        <v>2</v>
      </c>
      <c r="P5" s="9"/>
      <c r="Q5" s="8">
        <v>2</v>
      </c>
      <c r="R5" s="9"/>
      <c r="S5" s="8">
        <v>2</v>
      </c>
      <c r="T5" s="9"/>
      <c r="U5" s="27">
        <f t="shared" ref="U5:U20" si="0">(C5+E5+G5+I5+K5+M5+O5+Q5+S5)/9</f>
        <v>2</v>
      </c>
      <c r="V5" s="28">
        <f t="shared" ref="V5:V20" si="1">(D5+F5+H5+J5+L5+N5+P5+R5+T5)/9</f>
        <v>0</v>
      </c>
      <c r="W5" s="29">
        <f t="shared" ref="W5:W15" si="2">U5/3</f>
        <v>0.66666666666666663</v>
      </c>
      <c r="X5" s="30">
        <f t="shared" ref="X5:X15" si="3">V5/3</f>
        <v>0</v>
      </c>
      <c r="Y5" s="36" t="str">
        <f>IF(U5&lt;=1," &lt; 50%",IF(U5&lt;2.25,"50-75%","75-100%"))</f>
        <v>50-75%</v>
      </c>
      <c r="Z5" s="37" t="str">
        <f>IF(V5&lt;=1," &lt; 50%",IF(V5&lt;2.25,"50-75%","75-100%"))</f>
        <v xml:space="preserve"> &lt; 50%</v>
      </c>
      <c r="AB5">
        <v>1</v>
      </c>
    </row>
    <row r="6" spans="1:28" ht="22.5" customHeight="1" x14ac:dyDescent="0.25">
      <c r="A6" s="8">
        <f>'Список детей'!A3</f>
        <v>2</v>
      </c>
      <c r="B6" s="24" t="str">
        <f>'Список детей'!B3</f>
        <v>Буяновская Варвара</v>
      </c>
      <c r="C6" s="8">
        <v>2</v>
      </c>
      <c r="D6" s="9"/>
      <c r="E6" s="8">
        <v>2</v>
      </c>
      <c r="F6" s="9"/>
      <c r="G6" s="8">
        <v>2</v>
      </c>
      <c r="H6" s="9"/>
      <c r="I6" s="8">
        <v>2</v>
      </c>
      <c r="J6" s="9"/>
      <c r="K6" s="8">
        <v>2</v>
      </c>
      <c r="L6" s="9"/>
      <c r="M6" s="8">
        <v>2</v>
      </c>
      <c r="N6" s="9"/>
      <c r="O6" s="8">
        <v>2</v>
      </c>
      <c r="P6" s="9"/>
      <c r="Q6" s="8">
        <v>2</v>
      </c>
      <c r="R6" s="9"/>
      <c r="S6" s="8">
        <v>2</v>
      </c>
      <c r="T6" s="9"/>
      <c r="U6" s="27">
        <f t="shared" si="0"/>
        <v>2</v>
      </c>
      <c r="V6" s="28">
        <f t="shared" si="1"/>
        <v>0</v>
      </c>
      <c r="W6" s="29">
        <f t="shared" si="2"/>
        <v>0.66666666666666663</v>
      </c>
      <c r="X6" s="30">
        <f t="shared" si="3"/>
        <v>0</v>
      </c>
      <c r="Y6" s="36" t="str">
        <f t="shared" ref="Y6:Z20" si="4">IF(U6&lt;=1," &lt; 50%",IF(U6&lt;2.25,"50-75%","75-100%"))</f>
        <v>50-75%</v>
      </c>
      <c r="Z6" s="37" t="str">
        <f t="shared" si="4"/>
        <v xml:space="preserve"> &lt; 50%</v>
      </c>
      <c r="AB6">
        <v>1</v>
      </c>
    </row>
    <row r="7" spans="1:28" ht="22.5" customHeight="1" x14ac:dyDescent="0.25">
      <c r="A7" s="8">
        <f>'Список детей'!A4</f>
        <v>3</v>
      </c>
      <c r="B7" s="24" t="str">
        <f>'Список детей'!B4</f>
        <v>Визиров Саша</v>
      </c>
      <c r="C7" s="8">
        <v>2</v>
      </c>
      <c r="D7" s="9"/>
      <c r="E7" s="8">
        <v>2</v>
      </c>
      <c r="F7" s="9"/>
      <c r="G7" s="8">
        <v>2</v>
      </c>
      <c r="H7" s="9"/>
      <c r="I7" s="8">
        <v>2</v>
      </c>
      <c r="J7" s="9"/>
      <c r="K7" s="8">
        <v>2</v>
      </c>
      <c r="L7" s="9"/>
      <c r="M7" s="8">
        <v>2</v>
      </c>
      <c r="N7" s="9"/>
      <c r="O7" s="8">
        <v>2</v>
      </c>
      <c r="P7" s="9"/>
      <c r="Q7" s="8">
        <v>2</v>
      </c>
      <c r="R7" s="9"/>
      <c r="S7" s="8">
        <v>2</v>
      </c>
      <c r="T7" s="9"/>
      <c r="U7" s="27">
        <f t="shared" si="0"/>
        <v>2</v>
      </c>
      <c r="V7" s="28">
        <f t="shared" si="1"/>
        <v>0</v>
      </c>
      <c r="W7" s="29">
        <f t="shared" si="2"/>
        <v>0.66666666666666663</v>
      </c>
      <c r="X7" s="30">
        <f t="shared" si="3"/>
        <v>0</v>
      </c>
      <c r="Y7" s="36" t="str">
        <f t="shared" si="4"/>
        <v>50-75%</v>
      </c>
      <c r="Z7" s="37" t="str">
        <f t="shared" si="4"/>
        <v xml:space="preserve"> &lt; 50%</v>
      </c>
      <c r="AB7">
        <v>1</v>
      </c>
    </row>
    <row r="8" spans="1:28" ht="22.5" customHeight="1" x14ac:dyDescent="0.25">
      <c r="A8" s="8">
        <f>'Список детей'!A5</f>
        <v>4</v>
      </c>
      <c r="B8" s="24" t="str">
        <f>'Список детей'!B5</f>
        <v>Волкова Аня</v>
      </c>
      <c r="C8" s="8">
        <v>2</v>
      </c>
      <c r="D8" s="9"/>
      <c r="E8" s="8">
        <v>2</v>
      </c>
      <c r="F8" s="9"/>
      <c r="G8" s="8">
        <v>2</v>
      </c>
      <c r="H8" s="9"/>
      <c r="I8" s="8">
        <v>2</v>
      </c>
      <c r="J8" s="9"/>
      <c r="K8" s="8">
        <v>2</v>
      </c>
      <c r="L8" s="9"/>
      <c r="M8" s="8">
        <v>2</v>
      </c>
      <c r="N8" s="9"/>
      <c r="O8" s="8">
        <v>2</v>
      </c>
      <c r="P8" s="9"/>
      <c r="Q8" s="8">
        <v>2</v>
      </c>
      <c r="R8" s="9"/>
      <c r="S8" s="8">
        <v>2</v>
      </c>
      <c r="T8" s="9"/>
      <c r="U8" s="27">
        <f t="shared" si="0"/>
        <v>2</v>
      </c>
      <c r="V8" s="28">
        <f t="shared" si="1"/>
        <v>0</v>
      </c>
      <c r="W8" s="29">
        <f t="shared" si="2"/>
        <v>0.66666666666666663</v>
      </c>
      <c r="X8" s="30">
        <f t="shared" si="3"/>
        <v>0</v>
      </c>
      <c r="Y8" s="36" t="str">
        <f t="shared" si="4"/>
        <v>50-75%</v>
      </c>
      <c r="Z8" s="37" t="str">
        <f t="shared" si="4"/>
        <v xml:space="preserve"> &lt; 50%</v>
      </c>
      <c r="AB8">
        <v>1</v>
      </c>
    </row>
    <row r="9" spans="1:28" ht="22.5" customHeight="1" x14ac:dyDescent="0.25">
      <c r="A9" s="8">
        <f>'Список детей'!A6</f>
        <v>5</v>
      </c>
      <c r="B9" s="24" t="str">
        <f>'Список детей'!B6</f>
        <v>Волков Даня</v>
      </c>
      <c r="C9" s="8">
        <v>2</v>
      </c>
      <c r="D9" s="9"/>
      <c r="E9" s="8">
        <v>2</v>
      </c>
      <c r="F9" s="9"/>
      <c r="G9" s="8">
        <v>2</v>
      </c>
      <c r="H9" s="9"/>
      <c r="I9" s="8">
        <v>2</v>
      </c>
      <c r="J9" s="9"/>
      <c r="K9" s="8">
        <v>2</v>
      </c>
      <c r="L9" s="9"/>
      <c r="M9" s="8">
        <v>2</v>
      </c>
      <c r="N9" s="9"/>
      <c r="O9" s="8">
        <v>2</v>
      </c>
      <c r="P9" s="9"/>
      <c r="Q9" s="8">
        <v>2</v>
      </c>
      <c r="R9" s="9"/>
      <c r="S9" s="8">
        <v>2</v>
      </c>
      <c r="T9" s="9"/>
      <c r="U9" s="27">
        <f t="shared" si="0"/>
        <v>2</v>
      </c>
      <c r="V9" s="28">
        <f t="shared" si="1"/>
        <v>0</v>
      </c>
      <c r="W9" s="29">
        <f t="shared" si="2"/>
        <v>0.66666666666666663</v>
      </c>
      <c r="X9" s="30">
        <f t="shared" si="3"/>
        <v>0</v>
      </c>
      <c r="Y9" s="36" t="str">
        <f t="shared" si="4"/>
        <v>50-75%</v>
      </c>
      <c r="Z9" s="37" t="str">
        <f t="shared" si="4"/>
        <v xml:space="preserve"> &lt; 50%</v>
      </c>
      <c r="AB9">
        <v>1</v>
      </c>
    </row>
    <row r="10" spans="1:28" ht="22.5" customHeight="1" x14ac:dyDescent="0.25">
      <c r="A10" s="8">
        <f>'Список детей'!A7</f>
        <v>6</v>
      </c>
      <c r="B10" s="24" t="str">
        <f>'Список детей'!B7</f>
        <v>Григорьева Эмилия</v>
      </c>
      <c r="C10" s="8">
        <v>0</v>
      </c>
      <c r="D10" s="9"/>
      <c r="E10" s="8">
        <v>0</v>
      </c>
      <c r="F10" s="9"/>
      <c r="G10" s="8">
        <v>0</v>
      </c>
      <c r="H10" s="9"/>
      <c r="I10" s="8">
        <v>0</v>
      </c>
      <c r="J10" s="9"/>
      <c r="K10" s="8">
        <v>0</v>
      </c>
      <c r="L10" s="9"/>
      <c r="M10" s="8">
        <v>0</v>
      </c>
      <c r="N10" s="9"/>
      <c r="O10" s="8">
        <v>0</v>
      </c>
      <c r="P10" s="9"/>
      <c r="Q10" s="8">
        <v>0</v>
      </c>
      <c r="R10" s="9"/>
      <c r="S10" s="8">
        <v>0</v>
      </c>
      <c r="T10" s="9"/>
      <c r="U10" s="27">
        <f t="shared" si="0"/>
        <v>0</v>
      </c>
      <c r="V10" s="28">
        <f t="shared" si="1"/>
        <v>0</v>
      </c>
      <c r="W10" s="29">
        <f t="shared" si="2"/>
        <v>0</v>
      </c>
      <c r="X10" s="30">
        <f t="shared" si="3"/>
        <v>0</v>
      </c>
      <c r="Y10" s="36" t="str">
        <f t="shared" si="4"/>
        <v xml:space="preserve"> &lt; 50%</v>
      </c>
      <c r="Z10" s="37" t="str">
        <f t="shared" si="4"/>
        <v xml:space="preserve"> &lt; 50%</v>
      </c>
      <c r="AB10">
        <v>1</v>
      </c>
    </row>
    <row r="11" spans="1:28" ht="22.5" customHeight="1" x14ac:dyDescent="0.25">
      <c r="A11" s="8">
        <f>'Список детей'!A8</f>
        <v>7</v>
      </c>
      <c r="B11" s="24" t="str">
        <f>'Список детей'!B8</f>
        <v>Головастов Вова</v>
      </c>
      <c r="C11" s="8">
        <v>2</v>
      </c>
      <c r="D11" s="9"/>
      <c r="E11" s="8">
        <v>2</v>
      </c>
      <c r="F11" s="9"/>
      <c r="G11" s="8">
        <v>2</v>
      </c>
      <c r="H11" s="9"/>
      <c r="I11" s="8">
        <v>2</v>
      </c>
      <c r="J11" s="9"/>
      <c r="K11" s="8">
        <v>2</v>
      </c>
      <c r="L11" s="9"/>
      <c r="M11" s="8">
        <v>2</v>
      </c>
      <c r="N11" s="9"/>
      <c r="O11" s="8">
        <v>2</v>
      </c>
      <c r="P11" s="9"/>
      <c r="Q11" s="8">
        <v>2</v>
      </c>
      <c r="R11" s="9"/>
      <c r="S11" s="8">
        <v>2</v>
      </c>
      <c r="T11" s="9"/>
      <c r="U11" s="27">
        <f t="shared" si="0"/>
        <v>2</v>
      </c>
      <c r="V11" s="28">
        <f t="shared" si="1"/>
        <v>0</v>
      </c>
      <c r="W11" s="29">
        <f t="shared" si="2"/>
        <v>0.66666666666666663</v>
      </c>
      <c r="X11" s="30">
        <f t="shared" si="3"/>
        <v>0</v>
      </c>
      <c r="Y11" s="36" t="str">
        <f t="shared" si="4"/>
        <v>50-75%</v>
      </c>
      <c r="Z11" s="37" t="str">
        <f t="shared" si="4"/>
        <v xml:space="preserve"> &lt; 50%</v>
      </c>
      <c r="AB11">
        <v>1</v>
      </c>
    </row>
    <row r="12" spans="1:28" ht="22.5" customHeight="1" x14ac:dyDescent="0.25">
      <c r="A12" s="8">
        <f>'Список детей'!A9</f>
        <v>8</v>
      </c>
      <c r="B12" s="24" t="str">
        <f>'Список детей'!B9</f>
        <v>Ковалев Богдан</v>
      </c>
      <c r="C12" s="8">
        <v>2</v>
      </c>
      <c r="D12" s="9"/>
      <c r="E12" s="8">
        <v>2</v>
      </c>
      <c r="F12" s="9"/>
      <c r="G12" s="8">
        <v>2</v>
      </c>
      <c r="H12" s="9"/>
      <c r="I12" s="8">
        <v>2</v>
      </c>
      <c r="J12" s="9"/>
      <c r="K12" s="8">
        <v>2</v>
      </c>
      <c r="L12" s="9"/>
      <c r="M12" s="8">
        <v>2</v>
      </c>
      <c r="N12" s="9"/>
      <c r="O12" s="8">
        <v>2</v>
      </c>
      <c r="P12" s="9"/>
      <c r="Q12" s="8">
        <v>2</v>
      </c>
      <c r="R12" s="9"/>
      <c r="S12" s="8">
        <v>2</v>
      </c>
      <c r="T12" s="9"/>
      <c r="U12" s="27">
        <f t="shared" si="0"/>
        <v>2</v>
      </c>
      <c r="V12" s="28">
        <f t="shared" si="1"/>
        <v>0</v>
      </c>
      <c r="W12" s="29">
        <f t="shared" si="2"/>
        <v>0.66666666666666663</v>
      </c>
      <c r="X12" s="30">
        <f t="shared" si="3"/>
        <v>0</v>
      </c>
      <c r="Y12" s="36" t="str">
        <f t="shared" si="4"/>
        <v>50-75%</v>
      </c>
      <c r="Z12" s="37" t="str">
        <f t="shared" si="4"/>
        <v xml:space="preserve"> &lt; 50%</v>
      </c>
      <c r="AB12">
        <v>1</v>
      </c>
    </row>
    <row r="13" spans="1:28" ht="22.5" customHeight="1" x14ac:dyDescent="0.25">
      <c r="A13" s="8">
        <f>'Список детей'!A10</f>
        <v>9</v>
      </c>
      <c r="B13" s="24" t="str">
        <f>'Список детей'!B10</f>
        <v>Назаренко Максим</v>
      </c>
      <c r="C13" s="8">
        <v>2</v>
      </c>
      <c r="D13" s="9"/>
      <c r="E13" s="8">
        <v>2</v>
      </c>
      <c r="F13" s="9"/>
      <c r="G13" s="8">
        <v>2</v>
      </c>
      <c r="H13" s="9"/>
      <c r="I13" s="8">
        <v>2</v>
      </c>
      <c r="J13" s="9"/>
      <c r="K13" s="8">
        <v>2</v>
      </c>
      <c r="L13" s="9"/>
      <c r="M13" s="8">
        <v>2</v>
      </c>
      <c r="N13" s="9"/>
      <c r="O13" s="8">
        <v>2</v>
      </c>
      <c r="P13" s="9"/>
      <c r="Q13" s="8">
        <v>2</v>
      </c>
      <c r="R13" s="9"/>
      <c r="S13" s="8">
        <v>2</v>
      </c>
      <c r="T13" s="9"/>
      <c r="U13" s="27">
        <f t="shared" si="0"/>
        <v>2</v>
      </c>
      <c r="V13" s="28">
        <f t="shared" si="1"/>
        <v>0</v>
      </c>
      <c r="W13" s="29">
        <f t="shared" si="2"/>
        <v>0.66666666666666663</v>
      </c>
      <c r="X13" s="30">
        <f t="shared" si="3"/>
        <v>0</v>
      </c>
      <c r="Y13" s="36" t="str">
        <f t="shared" si="4"/>
        <v>50-75%</v>
      </c>
      <c r="Z13" s="37" t="str">
        <f t="shared" si="4"/>
        <v xml:space="preserve"> &lt; 50%</v>
      </c>
      <c r="AB13">
        <v>1</v>
      </c>
    </row>
    <row r="14" spans="1:28" ht="22.5" customHeight="1" x14ac:dyDescent="0.25">
      <c r="A14" s="8">
        <f>'Список детей'!A11</f>
        <v>10</v>
      </c>
      <c r="B14" s="24" t="str">
        <f>'Список детей'!B11</f>
        <v>Пеньков Лев</v>
      </c>
      <c r="C14" s="8">
        <v>2</v>
      </c>
      <c r="D14" s="9"/>
      <c r="E14" s="8">
        <v>2</v>
      </c>
      <c r="F14" s="9"/>
      <c r="G14" s="8">
        <v>2</v>
      </c>
      <c r="H14" s="9"/>
      <c r="I14" s="8">
        <v>2</v>
      </c>
      <c r="J14" s="9"/>
      <c r="K14" s="8">
        <v>2</v>
      </c>
      <c r="L14" s="9"/>
      <c r="M14" s="8">
        <v>2</v>
      </c>
      <c r="N14" s="9"/>
      <c r="O14" s="8">
        <v>2</v>
      </c>
      <c r="P14" s="9"/>
      <c r="Q14" s="8">
        <v>2</v>
      </c>
      <c r="R14" s="9"/>
      <c r="S14" s="8">
        <v>2</v>
      </c>
      <c r="T14" s="9"/>
      <c r="U14" s="27">
        <f t="shared" si="0"/>
        <v>2</v>
      </c>
      <c r="V14" s="28">
        <f t="shared" si="1"/>
        <v>0</v>
      </c>
      <c r="W14" s="29">
        <f t="shared" si="2"/>
        <v>0.66666666666666663</v>
      </c>
      <c r="X14" s="30">
        <f t="shared" si="3"/>
        <v>0</v>
      </c>
      <c r="Y14" s="36" t="str">
        <f t="shared" si="4"/>
        <v>50-75%</v>
      </c>
      <c r="Z14" s="37" t="str">
        <f t="shared" si="4"/>
        <v xml:space="preserve"> &lt; 50%</v>
      </c>
      <c r="AB14">
        <v>1</v>
      </c>
    </row>
    <row r="15" spans="1:28" ht="22.5" customHeight="1" x14ac:dyDescent="0.25">
      <c r="A15" s="8">
        <f>'Список детей'!A12</f>
        <v>11</v>
      </c>
      <c r="B15" s="24" t="str">
        <f>'Список детей'!B12</f>
        <v>Скворцова Вероника</v>
      </c>
      <c r="C15" s="8">
        <v>2</v>
      </c>
      <c r="D15" s="9"/>
      <c r="E15" s="8">
        <v>2</v>
      </c>
      <c r="F15" s="9"/>
      <c r="G15" s="8">
        <v>2</v>
      </c>
      <c r="H15" s="9"/>
      <c r="I15" s="8">
        <v>2</v>
      </c>
      <c r="J15" s="9"/>
      <c r="K15" s="8">
        <v>2</v>
      </c>
      <c r="L15" s="9"/>
      <c r="M15" s="8">
        <v>2</v>
      </c>
      <c r="N15" s="9"/>
      <c r="O15" s="8">
        <v>2</v>
      </c>
      <c r="P15" s="9"/>
      <c r="Q15" s="8">
        <v>2</v>
      </c>
      <c r="R15" s="9"/>
      <c r="S15" s="8">
        <v>2</v>
      </c>
      <c r="T15" s="9"/>
      <c r="U15" s="27">
        <f t="shared" si="0"/>
        <v>2</v>
      </c>
      <c r="V15" s="28">
        <f t="shared" si="1"/>
        <v>0</v>
      </c>
      <c r="W15" s="29">
        <f t="shared" si="2"/>
        <v>0.66666666666666663</v>
      </c>
      <c r="X15" s="30">
        <f t="shared" si="3"/>
        <v>0</v>
      </c>
      <c r="Y15" s="36" t="str">
        <f t="shared" si="4"/>
        <v>50-75%</v>
      </c>
      <c r="Z15" s="37" t="str">
        <f t="shared" si="4"/>
        <v xml:space="preserve"> &lt; 50%</v>
      </c>
      <c r="AB15">
        <v>1</v>
      </c>
    </row>
    <row r="16" spans="1:28" ht="22.5" customHeight="1" x14ac:dyDescent="0.25">
      <c r="A16" s="8">
        <f>'Список детей'!A13</f>
        <v>12</v>
      </c>
      <c r="B16" s="24" t="str">
        <f>'Список детей'!B13</f>
        <v>Самордин Аким</v>
      </c>
      <c r="C16" s="8">
        <v>1</v>
      </c>
      <c r="D16" s="9"/>
      <c r="E16" s="8">
        <v>1</v>
      </c>
      <c r="F16" s="9"/>
      <c r="G16" s="8">
        <v>1</v>
      </c>
      <c r="H16" s="9"/>
      <c r="I16" s="8">
        <v>1</v>
      </c>
      <c r="J16" s="9"/>
      <c r="K16" s="8">
        <v>1</v>
      </c>
      <c r="L16" s="9"/>
      <c r="M16" s="8">
        <v>1</v>
      </c>
      <c r="N16" s="9"/>
      <c r="O16" s="8">
        <v>1</v>
      </c>
      <c r="P16" s="9"/>
      <c r="Q16" s="8">
        <v>1</v>
      </c>
      <c r="R16" s="9"/>
      <c r="S16" s="8">
        <v>1</v>
      </c>
      <c r="T16" s="9"/>
      <c r="U16" s="27">
        <f t="shared" si="0"/>
        <v>1</v>
      </c>
      <c r="V16" s="28">
        <f t="shared" si="1"/>
        <v>0</v>
      </c>
      <c r="W16" s="29">
        <f t="shared" ref="W16:W20" si="5">U16/3</f>
        <v>0.33333333333333331</v>
      </c>
      <c r="X16" s="30">
        <v>0</v>
      </c>
      <c r="Y16" s="36" t="str">
        <f t="shared" si="4"/>
        <v xml:space="preserve"> &lt; 50%</v>
      </c>
      <c r="Z16" s="37" t="str">
        <f t="shared" si="4"/>
        <v xml:space="preserve"> &lt; 50%</v>
      </c>
      <c r="AB16">
        <v>1</v>
      </c>
    </row>
    <row r="17" spans="1:28" ht="22.5" customHeight="1" x14ac:dyDescent="0.25">
      <c r="A17" s="8">
        <f>'Список детей'!A14</f>
        <v>13</v>
      </c>
      <c r="B17" s="24" t="str">
        <f>'Список детей'!B14</f>
        <v>Франк Гектор</v>
      </c>
      <c r="C17" s="8">
        <v>2</v>
      </c>
      <c r="D17" s="9"/>
      <c r="E17" s="8">
        <v>2</v>
      </c>
      <c r="F17" s="9"/>
      <c r="G17" s="8">
        <v>2</v>
      </c>
      <c r="H17" s="9"/>
      <c r="I17" s="8">
        <v>2</v>
      </c>
      <c r="J17" s="9"/>
      <c r="K17" s="8">
        <v>2</v>
      </c>
      <c r="L17" s="9"/>
      <c r="M17" s="8">
        <v>2</v>
      </c>
      <c r="N17" s="9"/>
      <c r="O17" s="8">
        <v>2</v>
      </c>
      <c r="P17" s="9"/>
      <c r="Q17" s="8">
        <v>2</v>
      </c>
      <c r="R17" s="9"/>
      <c r="S17" s="8">
        <v>2</v>
      </c>
      <c r="T17" s="9"/>
      <c r="U17" s="27">
        <f t="shared" si="0"/>
        <v>2</v>
      </c>
      <c r="V17" s="28">
        <f t="shared" si="1"/>
        <v>0</v>
      </c>
      <c r="W17" s="29">
        <f t="shared" si="5"/>
        <v>0.66666666666666663</v>
      </c>
      <c r="X17" s="30">
        <f t="shared" ref="X17:X20" si="6">V17/3</f>
        <v>0</v>
      </c>
      <c r="Y17" s="36" t="str">
        <f t="shared" si="4"/>
        <v>50-75%</v>
      </c>
      <c r="Z17" s="37" t="str">
        <f t="shared" si="4"/>
        <v xml:space="preserve"> &lt; 50%</v>
      </c>
      <c r="AB17">
        <v>1</v>
      </c>
    </row>
    <row r="18" spans="1:28" ht="22.5" customHeight="1" x14ac:dyDescent="0.25">
      <c r="A18" s="8">
        <f>'Список детей'!A15</f>
        <v>14</v>
      </c>
      <c r="B18" s="24" t="str">
        <f>'Список детей'!B15</f>
        <v>Швыдченко Кирилл</v>
      </c>
      <c r="C18" s="8">
        <v>2</v>
      </c>
      <c r="D18" s="9"/>
      <c r="E18" s="8">
        <v>2</v>
      </c>
      <c r="F18" s="9"/>
      <c r="G18" s="8">
        <v>2</v>
      </c>
      <c r="H18" s="9"/>
      <c r="I18" s="8">
        <v>2</v>
      </c>
      <c r="J18" s="9"/>
      <c r="K18" s="8">
        <v>2</v>
      </c>
      <c r="L18" s="9"/>
      <c r="M18" s="8">
        <v>2</v>
      </c>
      <c r="N18" s="9"/>
      <c r="O18" s="8">
        <v>2</v>
      </c>
      <c r="P18" s="9"/>
      <c r="Q18" s="8">
        <v>2</v>
      </c>
      <c r="R18" s="9"/>
      <c r="S18" s="8">
        <v>2</v>
      </c>
      <c r="T18" s="9"/>
      <c r="U18" s="27">
        <f t="shared" si="0"/>
        <v>2</v>
      </c>
      <c r="V18" s="28">
        <f t="shared" si="1"/>
        <v>0</v>
      </c>
      <c r="W18" s="29">
        <f t="shared" si="5"/>
        <v>0.66666666666666663</v>
      </c>
      <c r="X18" s="30">
        <f t="shared" si="6"/>
        <v>0</v>
      </c>
      <c r="Y18" s="36" t="str">
        <f t="shared" si="4"/>
        <v>50-75%</v>
      </c>
      <c r="Z18" s="37" t="str">
        <f t="shared" si="4"/>
        <v xml:space="preserve"> &lt; 50%</v>
      </c>
      <c r="AB18">
        <v>1</v>
      </c>
    </row>
    <row r="19" spans="1:28" ht="22.5" customHeight="1" x14ac:dyDescent="0.25">
      <c r="A19" s="8">
        <f>'Список детей'!A16</f>
        <v>15</v>
      </c>
      <c r="B19" s="24" t="str">
        <f>'Список детей'!B16</f>
        <v>Ребенок 15</v>
      </c>
      <c r="C19" s="8"/>
      <c r="D19" s="9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8"/>
      <c r="R19" s="9"/>
      <c r="S19" s="8"/>
      <c r="T19" s="9"/>
      <c r="U19" s="27">
        <f t="shared" si="0"/>
        <v>0</v>
      </c>
      <c r="V19" s="28">
        <f t="shared" si="1"/>
        <v>0</v>
      </c>
      <c r="W19" s="29">
        <f t="shared" si="5"/>
        <v>0</v>
      </c>
      <c r="X19" s="30">
        <f t="shared" si="6"/>
        <v>0</v>
      </c>
      <c r="Y19" s="36" t="str">
        <f t="shared" si="4"/>
        <v xml:space="preserve"> &lt; 50%</v>
      </c>
      <c r="Z19" s="37" t="str">
        <f t="shared" si="4"/>
        <v xml:space="preserve"> &lt; 50%</v>
      </c>
      <c r="AB19">
        <v>1</v>
      </c>
    </row>
    <row r="20" spans="1:28" ht="22.5" customHeight="1" x14ac:dyDescent="0.25">
      <c r="A20" s="8">
        <f>'Список детей'!A17</f>
        <v>16</v>
      </c>
      <c r="B20" s="24" t="str">
        <f>'Список детей'!B17</f>
        <v>Ребенок 16</v>
      </c>
      <c r="C20" s="8"/>
      <c r="D20" s="9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27">
        <f t="shared" si="0"/>
        <v>0</v>
      </c>
      <c r="V20" s="28">
        <f t="shared" si="1"/>
        <v>0</v>
      </c>
      <c r="W20" s="29">
        <f t="shared" si="5"/>
        <v>0</v>
      </c>
      <c r="X20" s="30">
        <f t="shared" si="6"/>
        <v>0</v>
      </c>
      <c r="Y20" s="36" t="str">
        <f t="shared" si="4"/>
        <v xml:space="preserve"> &lt; 50%</v>
      </c>
      <c r="Z20" s="37" t="str">
        <f t="shared" si="4"/>
        <v xml:space="preserve"> &lt; 50%</v>
      </c>
      <c r="AB20">
        <v>1</v>
      </c>
    </row>
    <row r="21" spans="1:28" ht="22.5" customHeight="1" x14ac:dyDescent="0.25">
      <c r="A21" s="8">
        <f>'Список детей'!A18</f>
        <v>17</v>
      </c>
      <c r="B21" s="24" t="str">
        <f>'Список детей'!B18</f>
        <v>Ребенок 17</v>
      </c>
      <c r="C21" s="8"/>
      <c r="D21" s="9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27">
        <f t="shared" ref="U21:U24" si="7">(C21+E21+G21+I21+K21+M21+O21+Q21+S21)/9</f>
        <v>0</v>
      </c>
      <c r="V21" s="28">
        <f t="shared" ref="V21:V24" si="8">(D21+F21+H21+J21+L21+N21+P21+R21+T21)/9</f>
        <v>0</v>
      </c>
      <c r="W21" s="29">
        <f t="shared" ref="W21:W24" si="9">U21/3</f>
        <v>0</v>
      </c>
      <c r="X21" s="30">
        <f t="shared" ref="X21:X24" si="10">V21/3</f>
        <v>0</v>
      </c>
      <c r="Y21" s="36" t="str">
        <f t="shared" ref="Y21:Y24" si="11">IF(U21&lt;=1," &lt; 50%",IF(U21&lt;2.25,"50-75%","75-100%"))</f>
        <v xml:space="preserve"> &lt; 50%</v>
      </c>
      <c r="Z21" s="37" t="str">
        <f t="shared" ref="Z21:Z24" si="12">IF(V21&lt;=1," &lt; 50%",IF(V21&lt;2.25,"50-75%","75-100%"))</f>
        <v xml:space="preserve"> &lt; 50%</v>
      </c>
      <c r="AB21">
        <v>1</v>
      </c>
    </row>
    <row r="22" spans="1:28" ht="22.5" customHeight="1" x14ac:dyDescent="0.25">
      <c r="A22" s="8">
        <f>'Список детей'!A19</f>
        <v>18</v>
      </c>
      <c r="B22" s="24" t="str">
        <f>'Список детей'!B19</f>
        <v>Ребенок 18</v>
      </c>
      <c r="C22" s="8"/>
      <c r="D22" s="9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27">
        <f t="shared" si="7"/>
        <v>0</v>
      </c>
      <c r="V22" s="28">
        <f t="shared" si="8"/>
        <v>0</v>
      </c>
      <c r="W22" s="29">
        <f t="shared" si="9"/>
        <v>0</v>
      </c>
      <c r="X22" s="30">
        <f t="shared" si="10"/>
        <v>0</v>
      </c>
      <c r="Y22" s="36" t="str">
        <f t="shared" si="11"/>
        <v xml:space="preserve"> &lt; 50%</v>
      </c>
      <c r="Z22" s="37" t="str">
        <f t="shared" si="12"/>
        <v xml:space="preserve"> &lt; 50%</v>
      </c>
      <c r="AB22">
        <v>1</v>
      </c>
    </row>
    <row r="23" spans="1:28" ht="22.5" customHeight="1" x14ac:dyDescent="0.25">
      <c r="A23" s="8">
        <f>'Список детей'!A20</f>
        <v>19</v>
      </c>
      <c r="B23" s="24" t="str">
        <f>'Список детей'!B20</f>
        <v>Ребенок 19</v>
      </c>
      <c r="C23" s="8"/>
      <c r="D23" s="9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27">
        <f t="shared" si="7"/>
        <v>0</v>
      </c>
      <c r="V23" s="28">
        <f t="shared" si="8"/>
        <v>0</v>
      </c>
      <c r="W23" s="29">
        <f t="shared" si="9"/>
        <v>0</v>
      </c>
      <c r="X23" s="30">
        <f t="shared" si="10"/>
        <v>0</v>
      </c>
      <c r="Y23" s="36" t="str">
        <f t="shared" si="11"/>
        <v xml:space="preserve"> &lt; 50%</v>
      </c>
      <c r="Z23" s="37" t="str">
        <f t="shared" si="12"/>
        <v xml:space="preserve"> &lt; 50%</v>
      </c>
      <c r="AB23">
        <v>1</v>
      </c>
    </row>
    <row r="24" spans="1:28" ht="22.5" customHeight="1" x14ac:dyDescent="0.25">
      <c r="A24" s="8">
        <f>'Список детей'!A21</f>
        <v>20</v>
      </c>
      <c r="B24" s="24" t="str">
        <f>'Список детей'!B21</f>
        <v>Ребенок 20</v>
      </c>
      <c r="C24" s="8"/>
      <c r="D24" s="9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27">
        <f t="shared" si="7"/>
        <v>0</v>
      </c>
      <c r="V24" s="28">
        <f t="shared" si="8"/>
        <v>0</v>
      </c>
      <c r="W24" s="29">
        <f t="shared" si="9"/>
        <v>0</v>
      </c>
      <c r="X24" s="30">
        <f t="shared" si="10"/>
        <v>0</v>
      </c>
      <c r="Y24" s="36" t="str">
        <f t="shared" si="11"/>
        <v xml:space="preserve"> &lt; 50%</v>
      </c>
      <c r="Z24" s="37" t="str">
        <f t="shared" si="12"/>
        <v xml:space="preserve"> &lt; 50%</v>
      </c>
      <c r="AB24">
        <v>1</v>
      </c>
    </row>
    <row r="25" spans="1:28" ht="22.5" customHeight="1" x14ac:dyDescent="0.25">
      <c r="A25" s="8">
        <f>'Список детей'!A22</f>
        <v>21</v>
      </c>
      <c r="B25" s="24" t="str">
        <f>'Список детей'!B22</f>
        <v>-</v>
      </c>
      <c r="C25" s="8"/>
      <c r="D25" s="9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27"/>
      <c r="V25" s="28"/>
      <c r="W25" s="29"/>
      <c r="X25" s="30"/>
      <c r="Y25" s="36"/>
      <c r="Z25" s="37"/>
    </row>
    <row r="26" spans="1:28" ht="22.5" customHeight="1" x14ac:dyDescent="0.25">
      <c r="A26" s="8">
        <f>'Список детей'!A23</f>
        <v>22</v>
      </c>
      <c r="B26" s="24" t="str">
        <f>'Список детей'!B23</f>
        <v>-</v>
      </c>
      <c r="C26" s="8"/>
      <c r="D26" s="9"/>
      <c r="E26" s="8"/>
      <c r="F26" s="9"/>
      <c r="G26" s="8"/>
      <c r="H26" s="9"/>
      <c r="I26" s="8"/>
      <c r="J26" s="9"/>
      <c r="K26" s="8"/>
      <c r="L26" s="9"/>
      <c r="M26" s="8"/>
      <c r="N26" s="9"/>
      <c r="O26" s="8"/>
      <c r="P26" s="9"/>
      <c r="Q26" s="8"/>
      <c r="R26" s="9"/>
      <c r="S26" s="8"/>
      <c r="T26" s="9"/>
      <c r="U26" s="27"/>
      <c r="V26" s="28"/>
      <c r="W26" s="29"/>
      <c r="X26" s="30"/>
      <c r="Y26" s="29"/>
      <c r="Z26" s="37"/>
    </row>
    <row r="27" spans="1:28" ht="22.5" customHeight="1" x14ac:dyDescent="0.25">
      <c r="A27" s="8">
        <f>'Список детей'!A24</f>
        <v>23</v>
      </c>
      <c r="B27" s="24" t="str">
        <f>'Список детей'!B24</f>
        <v>-</v>
      </c>
      <c r="C27" s="8"/>
      <c r="D27" s="9"/>
      <c r="E27" s="8"/>
      <c r="F27" s="9"/>
      <c r="G27" s="8"/>
      <c r="H27" s="9"/>
      <c r="I27" s="8"/>
      <c r="J27" s="9"/>
      <c r="K27" s="8"/>
      <c r="L27" s="9"/>
      <c r="M27" s="8"/>
      <c r="N27" s="9"/>
      <c r="O27" s="8"/>
      <c r="P27" s="9"/>
      <c r="Q27" s="8"/>
      <c r="R27" s="9"/>
      <c r="S27" s="8"/>
      <c r="T27" s="9"/>
      <c r="U27" s="27"/>
      <c r="V27" s="28"/>
      <c r="W27" s="29"/>
      <c r="X27" s="30"/>
      <c r="Y27" s="29"/>
      <c r="Z27" s="37"/>
    </row>
    <row r="28" spans="1:28" ht="22.5" customHeight="1" x14ac:dyDescent="0.25">
      <c r="A28" s="8"/>
      <c r="B28" s="12"/>
      <c r="C28" s="8"/>
      <c r="D28" s="9"/>
      <c r="E28" s="8"/>
      <c r="F28" s="9"/>
      <c r="G28" s="8"/>
      <c r="H28" s="9"/>
      <c r="I28" s="8"/>
      <c r="J28" s="9"/>
      <c r="K28" s="8"/>
      <c r="L28" s="9"/>
      <c r="M28" s="8"/>
      <c r="N28" s="9"/>
      <c r="O28" s="8"/>
      <c r="P28" s="9"/>
      <c r="Q28" s="8"/>
      <c r="R28" s="9"/>
      <c r="S28" s="8"/>
      <c r="T28" s="9"/>
      <c r="U28" s="27"/>
      <c r="V28" s="28"/>
      <c r="W28" s="29"/>
      <c r="X28" s="30"/>
      <c r="Y28" s="29"/>
      <c r="Z28" s="30"/>
    </row>
    <row r="29" spans="1:28" ht="22.5" customHeight="1" x14ac:dyDescent="0.25">
      <c r="A29" s="8"/>
      <c r="B29" s="12"/>
      <c r="C29" s="8"/>
      <c r="D29" s="9"/>
      <c r="E29" s="8"/>
      <c r="F29" s="9"/>
      <c r="G29" s="8"/>
      <c r="H29" s="9"/>
      <c r="I29" s="8"/>
      <c r="J29" s="9"/>
      <c r="K29" s="8"/>
      <c r="L29" s="9"/>
      <c r="M29" s="8"/>
      <c r="N29" s="9"/>
      <c r="O29" s="8"/>
      <c r="P29" s="9"/>
      <c r="Q29" s="8"/>
      <c r="R29" s="9"/>
      <c r="S29" s="8"/>
      <c r="T29" s="9"/>
      <c r="U29" s="27"/>
      <c r="V29" s="28"/>
      <c r="W29" s="29"/>
      <c r="X29" s="30"/>
      <c r="Y29" s="29"/>
      <c r="Z29" s="30"/>
    </row>
    <row r="30" spans="1:28" s="1" customFormat="1" ht="33.75" customHeight="1" x14ac:dyDescent="0.25">
      <c r="A30" s="45" t="s">
        <v>6</v>
      </c>
      <c r="B30" s="45"/>
      <c r="C30" s="18">
        <f t="shared" ref="C30:V30" si="13">AVERAGE(C5:C29)</f>
        <v>1.7857142857142858</v>
      </c>
      <c r="D30" s="41" t="e">
        <f t="shared" si="13"/>
        <v>#DIV/0!</v>
      </c>
      <c r="E30" s="18">
        <f t="shared" si="13"/>
        <v>1.7857142857142858</v>
      </c>
      <c r="F30" s="41" t="e">
        <f t="shared" si="13"/>
        <v>#DIV/0!</v>
      </c>
      <c r="G30" s="18">
        <f t="shared" si="13"/>
        <v>1.7857142857142858</v>
      </c>
      <c r="H30" s="41" t="e">
        <f t="shared" si="13"/>
        <v>#DIV/0!</v>
      </c>
      <c r="I30" s="18">
        <f t="shared" si="13"/>
        <v>1.7857142857142858</v>
      </c>
      <c r="J30" s="41" t="e">
        <f t="shared" si="13"/>
        <v>#DIV/0!</v>
      </c>
      <c r="K30" s="18">
        <f t="shared" si="13"/>
        <v>1.7857142857142858</v>
      </c>
      <c r="L30" s="41" t="e">
        <f t="shared" si="13"/>
        <v>#DIV/0!</v>
      </c>
      <c r="M30" s="18">
        <f t="shared" si="13"/>
        <v>1.7857142857142858</v>
      </c>
      <c r="N30" s="41" t="e">
        <f t="shared" si="13"/>
        <v>#DIV/0!</v>
      </c>
      <c r="O30" s="18">
        <f t="shared" si="13"/>
        <v>1.7857142857142858</v>
      </c>
      <c r="P30" s="41" t="e">
        <f t="shared" si="13"/>
        <v>#DIV/0!</v>
      </c>
      <c r="Q30" s="18">
        <f t="shared" si="13"/>
        <v>1.7857142857142858</v>
      </c>
      <c r="R30" s="41" t="e">
        <f t="shared" si="13"/>
        <v>#DIV/0!</v>
      </c>
      <c r="S30" s="18">
        <f t="shared" si="13"/>
        <v>1.7857142857142858</v>
      </c>
      <c r="T30" s="41" t="e">
        <f t="shared" si="13"/>
        <v>#DIV/0!</v>
      </c>
      <c r="U30" s="31">
        <f t="shared" si="13"/>
        <v>1.25</v>
      </c>
      <c r="V30" s="42">
        <f t="shared" si="13"/>
        <v>0</v>
      </c>
      <c r="W30" s="29">
        <f>SUM(W5:W25)/'Список детей'!$C$34</f>
        <v>0.59523809523809523</v>
      </c>
      <c r="X30" s="30">
        <f>SUM(X5:X25)/'Список детей'!$C$34</f>
        <v>0</v>
      </c>
      <c r="Y30" s="27"/>
      <c r="Z30" s="28"/>
    </row>
    <row r="31" spans="1:2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2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32"/>
      <c r="O32" s="6" t="s">
        <v>24</v>
      </c>
      <c r="P32" s="6" t="s">
        <v>23</v>
      </c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33" t="s">
        <v>16</v>
      </c>
      <c r="O33" s="6">
        <f>SUMIF(Y5:Y29," &lt; 50%",AB5:AB29)</f>
        <v>8</v>
      </c>
      <c r="P33" s="6">
        <f>SUMIF(Z5:Z29," &lt; 50%",AB5:AB29)</f>
        <v>20</v>
      </c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33" t="s">
        <v>17</v>
      </c>
      <c r="O34" s="6">
        <f>SUMIF(Y5:Y29,"50-75%",AB5:AB29)</f>
        <v>12</v>
      </c>
      <c r="P34" s="6">
        <f>SUMIF(Z5:Z29,"50-75%",AB5:AB29)</f>
        <v>0</v>
      </c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33" t="s">
        <v>19</v>
      </c>
      <c r="O35" s="6">
        <f>SUMIF(Y5:Y29,"75-100%",AB5:AB29)</f>
        <v>0</v>
      </c>
      <c r="P35" s="6">
        <f>SUMIF(Z5:Z29,"75-100%",AB5:AB29)</f>
        <v>0</v>
      </c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32"/>
      <c r="O36" s="6"/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33"/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33"/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33"/>
    </row>
  </sheetData>
  <mergeCells count="15">
    <mergeCell ref="Y3:Z3"/>
    <mergeCell ref="S3:T3"/>
    <mergeCell ref="U3:V3"/>
    <mergeCell ref="W3:X3"/>
    <mergeCell ref="A30:B30"/>
    <mergeCell ref="I3:J3"/>
    <mergeCell ref="K3:L3"/>
    <mergeCell ref="M3:N3"/>
    <mergeCell ref="O3:P3"/>
    <mergeCell ref="Q3:R3"/>
    <mergeCell ref="A3:A4"/>
    <mergeCell ref="B3:B4"/>
    <mergeCell ref="C3:D3"/>
    <mergeCell ref="E3:F3"/>
    <mergeCell ref="G3:H3"/>
  </mergeCells>
  <pageMargins left="0.70866141732283472" right="0.70866141732283472" top="0.74803149606299213" bottom="0.74803149606299213" header="0.51181102362204722" footer="0.51181102362204722"/>
  <pageSetup paperSize="9" scale="46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8"/>
  <sheetViews>
    <sheetView zoomScale="60" zoomScaleNormal="60" workbookViewId="0">
      <selection activeCell="W24" sqref="W24"/>
    </sheetView>
  </sheetViews>
  <sheetFormatPr defaultRowHeight="15" x14ac:dyDescent="0.25"/>
  <cols>
    <col min="1" max="1" width="4" style="6" customWidth="1"/>
    <col min="2" max="2" width="37.85546875" style="6" customWidth="1"/>
    <col min="3" max="24" width="8.7109375" style="6" customWidth="1"/>
    <col min="25" max="25" width="10.5703125" style="7" bestFit="1" customWidth="1"/>
    <col min="26" max="26" width="9.5703125" style="7" customWidth="1"/>
    <col min="27" max="27" width="10.42578125" style="7" bestFit="1" customWidth="1"/>
    <col min="28" max="28" width="8.140625" style="7" bestFit="1" customWidth="1"/>
    <col min="29" max="29" width="10.28515625" style="7" bestFit="1" customWidth="1"/>
    <col min="30" max="30" width="11.5703125" style="6" bestFit="1" customWidth="1"/>
    <col min="31" max="31" width="10.42578125" style="6" bestFit="1" customWidth="1"/>
    <col min="32" max="1033" width="8.7109375" style="6" customWidth="1"/>
    <col min="1034" max="16384" width="9.140625" style="6"/>
  </cols>
  <sheetData>
    <row r="1" spans="1:33" x14ac:dyDescent="0.25">
      <c r="A1" s="20"/>
      <c r="B1" s="21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2"/>
      <c r="Z1" s="22"/>
      <c r="AA1" s="22"/>
      <c r="AB1" s="22"/>
    </row>
    <row r="2" spans="1:33" x14ac:dyDescent="0.25">
      <c r="A2" s="20"/>
      <c r="B2" s="20" t="s">
        <v>64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2"/>
      <c r="Z2" s="22"/>
      <c r="AA2" s="22"/>
      <c r="AB2" s="22"/>
    </row>
    <row r="3" spans="1:33" ht="302.25" customHeight="1" x14ac:dyDescent="0.25">
      <c r="A3" s="47" t="s">
        <v>1</v>
      </c>
      <c r="B3" s="51" t="s">
        <v>2</v>
      </c>
      <c r="C3" s="49" t="s">
        <v>65</v>
      </c>
      <c r="D3" s="50"/>
      <c r="E3" s="49" t="s">
        <v>66</v>
      </c>
      <c r="F3" s="50"/>
      <c r="G3" s="49" t="s">
        <v>68</v>
      </c>
      <c r="H3" s="47"/>
      <c r="I3" s="47" t="s">
        <v>26</v>
      </c>
      <c r="J3" s="47"/>
      <c r="K3" s="49" t="s">
        <v>67</v>
      </c>
      <c r="L3" s="50"/>
      <c r="M3" s="49" t="s">
        <v>69</v>
      </c>
      <c r="N3" s="47"/>
      <c r="O3" s="52" t="s">
        <v>70</v>
      </c>
      <c r="P3" s="53"/>
      <c r="Q3" s="52" t="s">
        <v>71</v>
      </c>
      <c r="R3" s="53"/>
      <c r="S3" s="52" t="s">
        <v>25</v>
      </c>
      <c r="T3" s="53"/>
      <c r="U3" s="52" t="s">
        <v>72</v>
      </c>
      <c r="V3" s="53"/>
      <c r="W3" s="49" t="s">
        <v>86</v>
      </c>
      <c r="X3" s="47"/>
      <c r="Y3" s="45" t="s">
        <v>3</v>
      </c>
      <c r="Z3" s="45"/>
      <c r="AA3" s="45" t="s">
        <v>4</v>
      </c>
      <c r="AB3" s="45"/>
      <c r="AC3" s="45" t="s">
        <v>18</v>
      </c>
      <c r="AD3" s="45"/>
      <c r="AE3" s="38"/>
      <c r="AF3" s="38"/>
      <c r="AG3" s="38"/>
    </row>
    <row r="4" spans="1:33" ht="15" customHeight="1" x14ac:dyDescent="0.25">
      <c r="A4" s="47"/>
      <c r="B4" s="51"/>
      <c r="C4" s="8" t="s">
        <v>20</v>
      </c>
      <c r="D4" s="9" t="s">
        <v>5</v>
      </c>
      <c r="E4" s="8" t="s">
        <v>20</v>
      </c>
      <c r="F4" s="9" t="s">
        <v>5</v>
      </c>
      <c r="G4" s="8" t="s">
        <v>20</v>
      </c>
      <c r="H4" s="9" t="s">
        <v>5</v>
      </c>
      <c r="I4" s="8" t="s">
        <v>20</v>
      </c>
      <c r="J4" s="9" t="s">
        <v>5</v>
      </c>
      <c r="K4" s="8" t="s">
        <v>20</v>
      </c>
      <c r="L4" s="9" t="s">
        <v>5</v>
      </c>
      <c r="M4" s="8" t="s">
        <v>20</v>
      </c>
      <c r="N4" s="9" t="s">
        <v>5</v>
      </c>
      <c r="O4" s="8" t="s">
        <v>20</v>
      </c>
      <c r="P4" s="9" t="s">
        <v>5</v>
      </c>
      <c r="Q4" s="8" t="s">
        <v>20</v>
      </c>
      <c r="R4" s="9" t="s">
        <v>5</v>
      </c>
      <c r="S4" s="8" t="s">
        <v>20</v>
      </c>
      <c r="T4" s="9" t="s">
        <v>5</v>
      </c>
      <c r="U4" s="8" t="s">
        <v>20</v>
      </c>
      <c r="V4" s="9" t="s">
        <v>5</v>
      </c>
      <c r="W4" s="8" t="s">
        <v>20</v>
      </c>
      <c r="X4" s="9" t="s">
        <v>5</v>
      </c>
      <c r="Y4" s="27" t="s">
        <v>20</v>
      </c>
      <c r="Z4" s="28" t="s">
        <v>5</v>
      </c>
      <c r="AA4" s="27" t="s">
        <v>20</v>
      </c>
      <c r="AB4" s="28" t="s">
        <v>5</v>
      </c>
      <c r="AC4" s="27" t="s">
        <v>20</v>
      </c>
      <c r="AD4" s="28" t="s">
        <v>5</v>
      </c>
      <c r="AE4" s="38"/>
      <c r="AF4" s="38"/>
      <c r="AG4" s="38"/>
    </row>
    <row r="5" spans="1:33" ht="22.5" customHeight="1" x14ac:dyDescent="0.25">
      <c r="A5" s="11">
        <f>'Список детей'!A2</f>
        <v>1</v>
      </c>
      <c r="B5" s="23" t="str">
        <f>'Список детей'!B2</f>
        <v>Бобрышев Мрон</v>
      </c>
      <c r="C5" s="13">
        <v>1</v>
      </c>
      <c r="D5" s="9"/>
      <c r="E5" s="13">
        <v>1</v>
      </c>
      <c r="F5" s="9"/>
      <c r="G5" s="13">
        <v>1</v>
      </c>
      <c r="H5" s="9"/>
      <c r="I5" s="13">
        <v>1</v>
      </c>
      <c r="J5" s="9"/>
      <c r="K5" s="13">
        <v>1</v>
      </c>
      <c r="L5" s="9"/>
      <c r="M5" s="13">
        <v>1</v>
      </c>
      <c r="N5" s="9"/>
      <c r="O5" s="13">
        <v>1</v>
      </c>
      <c r="P5" s="44"/>
      <c r="Q5" s="13">
        <v>2</v>
      </c>
      <c r="R5" s="44"/>
      <c r="S5" s="13">
        <v>1</v>
      </c>
      <c r="T5" s="44"/>
      <c r="U5" s="13">
        <v>2</v>
      </c>
      <c r="V5" s="44"/>
      <c r="W5" s="13">
        <v>2</v>
      </c>
      <c r="X5" s="9"/>
      <c r="Y5" s="27">
        <f>(C5+E5+G5+I5+K5+M5+O5+Q5+S5+U5+W5)/11</f>
        <v>1.2727272727272727</v>
      </c>
      <c r="Z5" s="28">
        <f>(D5+F5+H5+J5+L5+N5+P5+R5+T5+V5+X5)/11</f>
        <v>0</v>
      </c>
      <c r="AA5" s="34">
        <f>Y5/3</f>
        <v>0.42424242424242425</v>
      </c>
      <c r="AB5" s="35">
        <f>Z5/3</f>
        <v>0</v>
      </c>
      <c r="AC5" s="36" t="str">
        <f>IF(Y5&lt;=1," &lt; 50%",IF(Y5&lt;2.25,"50-75%","75-100%"))</f>
        <v>50-75%</v>
      </c>
      <c r="AD5" s="37" t="str">
        <f>IF(Z5&lt;=1," &lt; 50%",IF(Z5&lt;2.25,"50-75%","75-100%"))</f>
        <v xml:space="preserve"> &lt; 50%</v>
      </c>
      <c r="AF5" s="39">
        <v>1</v>
      </c>
      <c r="AG5" s="38"/>
    </row>
    <row r="6" spans="1:33" ht="22.5" customHeight="1" x14ac:dyDescent="0.25">
      <c r="A6" s="11">
        <f>'Список детей'!A3</f>
        <v>2</v>
      </c>
      <c r="B6" s="23" t="str">
        <f>'Список детей'!B3</f>
        <v>Буяновская Варвара</v>
      </c>
      <c r="C6" s="13">
        <v>2</v>
      </c>
      <c r="D6" s="9"/>
      <c r="E6" s="13">
        <v>2</v>
      </c>
      <c r="F6" s="9"/>
      <c r="G6" s="13">
        <v>1</v>
      </c>
      <c r="H6" s="9"/>
      <c r="I6" s="13">
        <v>1</v>
      </c>
      <c r="J6" s="9"/>
      <c r="K6" s="13">
        <v>2</v>
      </c>
      <c r="L6" s="9"/>
      <c r="M6" s="13">
        <v>1</v>
      </c>
      <c r="N6" s="9"/>
      <c r="O6" s="13">
        <v>2</v>
      </c>
      <c r="P6" s="44"/>
      <c r="Q6" s="13">
        <v>2</v>
      </c>
      <c r="R6" s="44"/>
      <c r="S6" s="13">
        <v>1</v>
      </c>
      <c r="T6" s="44"/>
      <c r="U6" s="13">
        <v>2</v>
      </c>
      <c r="V6" s="44"/>
      <c r="W6" s="13">
        <v>2</v>
      </c>
      <c r="X6" s="9"/>
      <c r="Y6" s="27">
        <f t="shared" ref="Y6:Y20" si="0">(C6+E6+G6+I6+K6+M6+W6)/7</f>
        <v>1.5714285714285714</v>
      </c>
      <c r="Z6" s="28">
        <f t="shared" ref="Z6:Z20" si="1">(D6+F6+H6+J6+L6+N6+X6)/7</f>
        <v>0</v>
      </c>
      <c r="AA6" s="34">
        <f t="shared" ref="AA6:AA20" si="2">Y6/3</f>
        <v>0.52380952380952384</v>
      </c>
      <c r="AB6" s="35">
        <f t="shared" ref="AB6:AB20" si="3">Z6/3</f>
        <v>0</v>
      </c>
      <c r="AC6" s="36" t="str">
        <f t="shared" ref="AC6:AC20" si="4">IF(Y6&lt;=1," &lt; 50%",IF(Y6&lt;2.25,"50-75%","75-100%"))</f>
        <v>50-75%</v>
      </c>
      <c r="AD6" s="37" t="str">
        <f t="shared" ref="AD6:AD20" si="5">IF(Z6&lt;=1," &lt; 50%",IF(Z6&lt;2.25,"50-75%","75-100%"))</f>
        <v xml:space="preserve"> &lt; 50%</v>
      </c>
      <c r="AF6" s="39">
        <v>1</v>
      </c>
      <c r="AG6" s="38"/>
    </row>
    <row r="7" spans="1:33" ht="22.5" customHeight="1" x14ac:dyDescent="0.25">
      <c r="A7" s="11">
        <f>'Список детей'!A4</f>
        <v>3</v>
      </c>
      <c r="B7" s="23" t="str">
        <f>'Список детей'!B4</f>
        <v>Визиров Саша</v>
      </c>
      <c r="C7" s="13">
        <v>2</v>
      </c>
      <c r="D7" s="9"/>
      <c r="E7" s="13">
        <v>2</v>
      </c>
      <c r="F7" s="9"/>
      <c r="G7" s="13">
        <v>2</v>
      </c>
      <c r="H7" s="9"/>
      <c r="I7" s="13">
        <v>2</v>
      </c>
      <c r="J7" s="9"/>
      <c r="K7" s="13">
        <v>2</v>
      </c>
      <c r="L7" s="9"/>
      <c r="M7" s="13">
        <v>2</v>
      </c>
      <c r="N7" s="9"/>
      <c r="O7" s="13">
        <v>2</v>
      </c>
      <c r="P7" s="44"/>
      <c r="Q7" s="13">
        <v>2</v>
      </c>
      <c r="R7" s="44"/>
      <c r="S7" s="13">
        <v>1</v>
      </c>
      <c r="T7" s="44"/>
      <c r="U7" s="13">
        <v>3</v>
      </c>
      <c r="V7" s="44"/>
      <c r="W7" s="13">
        <v>3</v>
      </c>
      <c r="X7" s="9"/>
      <c r="Y7" s="27">
        <f t="shared" si="0"/>
        <v>2.1428571428571428</v>
      </c>
      <c r="Z7" s="28">
        <f t="shared" si="1"/>
        <v>0</v>
      </c>
      <c r="AA7" s="34">
        <f t="shared" si="2"/>
        <v>0.7142857142857143</v>
      </c>
      <c r="AB7" s="35">
        <f t="shared" si="3"/>
        <v>0</v>
      </c>
      <c r="AC7" s="36" t="str">
        <f t="shared" si="4"/>
        <v>50-75%</v>
      </c>
      <c r="AD7" s="37" t="str">
        <f t="shared" si="5"/>
        <v xml:space="preserve"> &lt; 50%</v>
      </c>
      <c r="AF7" s="39">
        <v>1</v>
      </c>
      <c r="AG7" s="38"/>
    </row>
    <row r="8" spans="1:33" ht="22.5" customHeight="1" x14ac:dyDescent="0.25">
      <c r="A8" s="11">
        <f>'Список детей'!A5</f>
        <v>4</v>
      </c>
      <c r="B8" s="23" t="str">
        <f>'Список детей'!B5</f>
        <v>Волкова Аня</v>
      </c>
      <c r="C8" s="13">
        <v>2</v>
      </c>
      <c r="D8" s="9"/>
      <c r="E8" s="13">
        <v>1</v>
      </c>
      <c r="F8" s="9"/>
      <c r="G8" s="13">
        <v>1</v>
      </c>
      <c r="H8" s="9"/>
      <c r="I8" s="13">
        <v>1</v>
      </c>
      <c r="J8" s="9"/>
      <c r="K8" s="13">
        <v>2</v>
      </c>
      <c r="L8" s="9"/>
      <c r="M8" s="13">
        <v>1</v>
      </c>
      <c r="N8" s="9"/>
      <c r="O8" s="13">
        <v>2</v>
      </c>
      <c r="P8" s="44"/>
      <c r="Q8" s="13">
        <v>1</v>
      </c>
      <c r="R8" s="44"/>
      <c r="S8" s="13">
        <v>1</v>
      </c>
      <c r="T8" s="44"/>
      <c r="U8" s="13">
        <v>2</v>
      </c>
      <c r="V8" s="44"/>
      <c r="W8" s="13">
        <v>2</v>
      </c>
      <c r="X8" s="9"/>
      <c r="Y8" s="27">
        <f t="shared" si="0"/>
        <v>1.4285714285714286</v>
      </c>
      <c r="Z8" s="28">
        <f t="shared" si="1"/>
        <v>0</v>
      </c>
      <c r="AA8" s="34">
        <f t="shared" si="2"/>
        <v>0.47619047619047622</v>
      </c>
      <c r="AB8" s="35">
        <f t="shared" si="3"/>
        <v>0</v>
      </c>
      <c r="AC8" s="36" t="str">
        <f t="shared" si="4"/>
        <v>50-75%</v>
      </c>
      <c r="AD8" s="37" t="str">
        <f t="shared" si="5"/>
        <v xml:space="preserve"> &lt; 50%</v>
      </c>
      <c r="AF8" s="39">
        <v>1</v>
      </c>
      <c r="AG8" s="38"/>
    </row>
    <row r="9" spans="1:33" ht="22.5" customHeight="1" x14ac:dyDescent="0.25">
      <c r="A9" s="11">
        <f>'Список детей'!A6</f>
        <v>5</v>
      </c>
      <c r="B9" s="23" t="str">
        <f>'Список детей'!B6</f>
        <v>Волков Даня</v>
      </c>
      <c r="C9" s="13">
        <v>2</v>
      </c>
      <c r="D9" s="9"/>
      <c r="E9" s="13">
        <v>2</v>
      </c>
      <c r="F9" s="9"/>
      <c r="G9" s="13">
        <v>2</v>
      </c>
      <c r="H9" s="9"/>
      <c r="I9" s="13">
        <v>2</v>
      </c>
      <c r="J9" s="9"/>
      <c r="K9" s="13">
        <v>2</v>
      </c>
      <c r="L9" s="9"/>
      <c r="M9" s="13">
        <v>1</v>
      </c>
      <c r="N9" s="9"/>
      <c r="O9" s="13">
        <v>2</v>
      </c>
      <c r="P9" s="44"/>
      <c r="Q9" s="13">
        <v>2</v>
      </c>
      <c r="R9" s="44"/>
      <c r="S9" s="13">
        <v>2</v>
      </c>
      <c r="T9" s="44"/>
      <c r="U9" s="13">
        <v>3</v>
      </c>
      <c r="V9" s="44"/>
      <c r="W9" s="13">
        <v>3</v>
      </c>
      <c r="X9" s="9"/>
      <c r="Y9" s="27">
        <f t="shared" si="0"/>
        <v>2</v>
      </c>
      <c r="Z9" s="28">
        <f t="shared" si="1"/>
        <v>0</v>
      </c>
      <c r="AA9" s="34">
        <f t="shared" si="2"/>
        <v>0.66666666666666663</v>
      </c>
      <c r="AB9" s="35">
        <f t="shared" si="3"/>
        <v>0</v>
      </c>
      <c r="AC9" s="36" t="str">
        <f t="shared" si="4"/>
        <v>50-75%</v>
      </c>
      <c r="AD9" s="37" t="str">
        <f t="shared" si="5"/>
        <v xml:space="preserve"> &lt; 50%</v>
      </c>
      <c r="AF9" s="39">
        <v>1</v>
      </c>
      <c r="AG9" s="38"/>
    </row>
    <row r="10" spans="1:33" ht="22.5" customHeight="1" x14ac:dyDescent="0.25">
      <c r="A10" s="11">
        <f>'Список детей'!A7</f>
        <v>6</v>
      </c>
      <c r="B10" s="23" t="str">
        <f>'Список детей'!B7</f>
        <v>Григорьева Эмилия</v>
      </c>
      <c r="C10" s="13"/>
      <c r="D10" s="9"/>
      <c r="E10" s="13"/>
      <c r="F10" s="9"/>
      <c r="G10" s="13"/>
      <c r="H10" s="9"/>
      <c r="I10" s="13"/>
      <c r="J10" s="9"/>
      <c r="K10" s="13"/>
      <c r="L10" s="9"/>
      <c r="M10" s="13"/>
      <c r="N10" s="9"/>
      <c r="O10" s="13"/>
      <c r="P10" s="44"/>
      <c r="Q10" s="13"/>
      <c r="R10" s="44"/>
      <c r="S10" s="13"/>
      <c r="T10" s="44"/>
      <c r="U10" s="13"/>
      <c r="V10" s="44"/>
      <c r="W10" s="13"/>
      <c r="X10" s="9"/>
      <c r="Y10" s="27">
        <f t="shared" si="0"/>
        <v>0</v>
      </c>
      <c r="Z10" s="28">
        <f t="shared" si="1"/>
        <v>0</v>
      </c>
      <c r="AA10" s="34">
        <f t="shared" si="2"/>
        <v>0</v>
      </c>
      <c r="AB10" s="35">
        <f t="shared" si="3"/>
        <v>0</v>
      </c>
      <c r="AC10" s="36" t="str">
        <f t="shared" si="4"/>
        <v xml:space="preserve"> &lt; 50%</v>
      </c>
      <c r="AD10" s="37" t="str">
        <f t="shared" si="5"/>
        <v xml:space="preserve"> &lt; 50%</v>
      </c>
      <c r="AF10" s="39">
        <v>1</v>
      </c>
      <c r="AG10" s="38"/>
    </row>
    <row r="11" spans="1:33" ht="22.5" customHeight="1" x14ac:dyDescent="0.25">
      <c r="A11" s="11">
        <f>'Список детей'!A8</f>
        <v>7</v>
      </c>
      <c r="B11" s="23" t="str">
        <f>'Список детей'!B8</f>
        <v>Головастов Вова</v>
      </c>
      <c r="C11" s="13">
        <v>1</v>
      </c>
      <c r="D11" s="9"/>
      <c r="E11" s="13">
        <v>1</v>
      </c>
      <c r="F11" s="9"/>
      <c r="G11" s="13">
        <v>1</v>
      </c>
      <c r="H11" s="9"/>
      <c r="I11" s="13">
        <v>0</v>
      </c>
      <c r="J11" s="9"/>
      <c r="K11" s="13">
        <v>1</v>
      </c>
      <c r="L11" s="9"/>
      <c r="M11" s="13">
        <v>1</v>
      </c>
      <c r="N11" s="9"/>
      <c r="O11" s="13">
        <v>1</v>
      </c>
      <c r="P11" s="44"/>
      <c r="Q11" s="13">
        <v>1</v>
      </c>
      <c r="R11" s="44"/>
      <c r="S11" s="13">
        <v>1</v>
      </c>
      <c r="T11" s="44"/>
      <c r="U11" s="13">
        <v>2</v>
      </c>
      <c r="V11" s="44"/>
      <c r="W11" s="13">
        <v>2</v>
      </c>
      <c r="X11" s="9"/>
      <c r="Y11" s="27">
        <f t="shared" si="0"/>
        <v>1</v>
      </c>
      <c r="Z11" s="28">
        <f t="shared" si="1"/>
        <v>0</v>
      </c>
      <c r="AA11" s="34">
        <f t="shared" si="2"/>
        <v>0.33333333333333331</v>
      </c>
      <c r="AB11" s="35">
        <f t="shared" si="3"/>
        <v>0</v>
      </c>
      <c r="AC11" s="36" t="str">
        <f t="shared" si="4"/>
        <v xml:space="preserve"> &lt; 50%</v>
      </c>
      <c r="AD11" s="37" t="str">
        <f t="shared" si="5"/>
        <v xml:space="preserve"> &lt; 50%</v>
      </c>
      <c r="AF11" s="39">
        <v>1</v>
      </c>
      <c r="AG11" s="38"/>
    </row>
    <row r="12" spans="1:33" ht="22.5" customHeight="1" x14ac:dyDescent="0.25">
      <c r="A12" s="11">
        <f>'Список детей'!A9</f>
        <v>8</v>
      </c>
      <c r="B12" s="23" t="str">
        <f>'Список детей'!B9</f>
        <v>Ковалев Богдан</v>
      </c>
      <c r="C12" s="13">
        <v>0</v>
      </c>
      <c r="D12" s="9"/>
      <c r="E12" s="13">
        <v>1</v>
      </c>
      <c r="F12" s="9"/>
      <c r="G12" s="13">
        <v>0</v>
      </c>
      <c r="H12" s="9"/>
      <c r="I12" s="13">
        <v>1</v>
      </c>
      <c r="J12" s="9"/>
      <c r="K12" s="13">
        <v>1</v>
      </c>
      <c r="L12" s="9"/>
      <c r="M12" s="13">
        <v>1</v>
      </c>
      <c r="N12" s="9"/>
      <c r="O12" s="13">
        <v>1</v>
      </c>
      <c r="P12" s="44"/>
      <c r="Q12" s="13">
        <v>1</v>
      </c>
      <c r="R12" s="44"/>
      <c r="S12" s="13">
        <v>0</v>
      </c>
      <c r="T12" s="44"/>
      <c r="U12" s="13">
        <v>1</v>
      </c>
      <c r="V12" s="44"/>
      <c r="W12" s="13">
        <v>1</v>
      </c>
      <c r="X12" s="9"/>
      <c r="Y12" s="27">
        <f t="shared" si="0"/>
        <v>0.7142857142857143</v>
      </c>
      <c r="Z12" s="28">
        <f t="shared" si="1"/>
        <v>0</v>
      </c>
      <c r="AA12" s="34">
        <f t="shared" si="2"/>
        <v>0.23809523809523811</v>
      </c>
      <c r="AB12" s="35">
        <f t="shared" si="3"/>
        <v>0</v>
      </c>
      <c r="AC12" s="36" t="str">
        <f t="shared" si="4"/>
        <v xml:space="preserve"> &lt; 50%</v>
      </c>
      <c r="AD12" s="37" t="str">
        <f t="shared" si="5"/>
        <v xml:space="preserve"> &lt; 50%</v>
      </c>
      <c r="AF12" s="39">
        <v>1</v>
      </c>
      <c r="AG12" s="38"/>
    </row>
    <row r="13" spans="1:33" ht="22.5" customHeight="1" x14ac:dyDescent="0.25">
      <c r="A13" s="11">
        <f>'Список детей'!A10</f>
        <v>9</v>
      </c>
      <c r="B13" s="23" t="str">
        <f>'Список детей'!B10</f>
        <v>Назаренко Максим</v>
      </c>
      <c r="C13" s="13">
        <v>1</v>
      </c>
      <c r="D13" s="9"/>
      <c r="E13" s="13">
        <v>2</v>
      </c>
      <c r="F13" s="9"/>
      <c r="G13" s="13">
        <v>1</v>
      </c>
      <c r="H13" s="9"/>
      <c r="I13" s="13">
        <v>1</v>
      </c>
      <c r="J13" s="9"/>
      <c r="K13" s="13">
        <v>2</v>
      </c>
      <c r="L13" s="9"/>
      <c r="M13" s="13">
        <v>2</v>
      </c>
      <c r="N13" s="9"/>
      <c r="O13" s="13">
        <v>2</v>
      </c>
      <c r="P13" s="44"/>
      <c r="Q13" s="13">
        <v>1</v>
      </c>
      <c r="R13" s="44"/>
      <c r="S13" s="13">
        <v>1</v>
      </c>
      <c r="T13" s="44"/>
      <c r="U13" s="13">
        <v>2</v>
      </c>
      <c r="V13" s="44"/>
      <c r="W13" s="13">
        <v>2</v>
      </c>
      <c r="X13" s="9"/>
      <c r="Y13" s="27">
        <f t="shared" si="0"/>
        <v>1.5714285714285714</v>
      </c>
      <c r="Z13" s="28">
        <f t="shared" si="1"/>
        <v>0</v>
      </c>
      <c r="AA13" s="34">
        <f t="shared" si="2"/>
        <v>0.52380952380952384</v>
      </c>
      <c r="AB13" s="35">
        <f t="shared" si="3"/>
        <v>0</v>
      </c>
      <c r="AC13" s="36" t="str">
        <f t="shared" si="4"/>
        <v>50-75%</v>
      </c>
      <c r="AD13" s="37" t="str">
        <f t="shared" si="5"/>
        <v xml:space="preserve"> &lt; 50%</v>
      </c>
      <c r="AF13" s="39">
        <v>1</v>
      </c>
      <c r="AG13" s="38"/>
    </row>
    <row r="14" spans="1:33" ht="22.5" customHeight="1" x14ac:dyDescent="0.25">
      <c r="A14" s="11">
        <f>'Список детей'!A11</f>
        <v>10</v>
      </c>
      <c r="B14" s="23" t="str">
        <f>'Список детей'!B11</f>
        <v>Пеньков Лев</v>
      </c>
      <c r="C14" s="13">
        <v>1</v>
      </c>
      <c r="D14" s="9"/>
      <c r="E14" s="13">
        <v>1</v>
      </c>
      <c r="F14" s="9"/>
      <c r="G14" s="13">
        <v>1</v>
      </c>
      <c r="H14" s="9"/>
      <c r="I14" s="13">
        <v>1</v>
      </c>
      <c r="J14" s="9"/>
      <c r="K14" s="13">
        <v>2</v>
      </c>
      <c r="L14" s="9"/>
      <c r="M14" s="13">
        <v>1</v>
      </c>
      <c r="N14" s="9"/>
      <c r="O14" s="13">
        <v>2</v>
      </c>
      <c r="P14" s="44"/>
      <c r="Q14" s="13">
        <v>1</v>
      </c>
      <c r="R14" s="44"/>
      <c r="S14" s="13">
        <v>1</v>
      </c>
      <c r="T14" s="44"/>
      <c r="U14" s="13">
        <v>2</v>
      </c>
      <c r="V14" s="44"/>
      <c r="W14" s="13">
        <v>1</v>
      </c>
      <c r="X14" s="9"/>
      <c r="Y14" s="27">
        <f t="shared" si="0"/>
        <v>1.1428571428571428</v>
      </c>
      <c r="Z14" s="28">
        <f t="shared" si="1"/>
        <v>0</v>
      </c>
      <c r="AA14" s="34">
        <f t="shared" si="2"/>
        <v>0.38095238095238093</v>
      </c>
      <c r="AB14" s="35">
        <f t="shared" si="3"/>
        <v>0</v>
      </c>
      <c r="AC14" s="36" t="str">
        <f t="shared" si="4"/>
        <v>50-75%</v>
      </c>
      <c r="AD14" s="37" t="str">
        <f t="shared" si="5"/>
        <v xml:space="preserve"> &lt; 50%</v>
      </c>
      <c r="AF14" s="39">
        <v>1</v>
      </c>
      <c r="AG14" s="38"/>
    </row>
    <row r="15" spans="1:33" ht="22.5" customHeight="1" x14ac:dyDescent="0.25">
      <c r="A15" s="11">
        <f>'Список детей'!A12</f>
        <v>11</v>
      </c>
      <c r="B15" s="23" t="str">
        <f>'Список детей'!B12</f>
        <v>Скворцова Вероника</v>
      </c>
      <c r="C15" s="13">
        <v>2</v>
      </c>
      <c r="D15" s="9"/>
      <c r="E15" s="13">
        <v>2</v>
      </c>
      <c r="F15" s="9"/>
      <c r="G15" s="13">
        <v>2</v>
      </c>
      <c r="H15" s="9"/>
      <c r="I15" s="13">
        <v>1</v>
      </c>
      <c r="J15" s="9"/>
      <c r="K15" s="13">
        <v>2</v>
      </c>
      <c r="L15" s="9"/>
      <c r="M15" s="13">
        <v>2</v>
      </c>
      <c r="N15" s="9"/>
      <c r="O15" s="13">
        <v>2</v>
      </c>
      <c r="P15" s="44"/>
      <c r="Q15" s="13">
        <v>1</v>
      </c>
      <c r="R15" s="44"/>
      <c r="S15" s="13">
        <v>2</v>
      </c>
      <c r="T15" s="44"/>
      <c r="U15" s="13">
        <v>2</v>
      </c>
      <c r="V15" s="44"/>
      <c r="W15" s="13">
        <v>2</v>
      </c>
      <c r="X15" s="9"/>
      <c r="Y15" s="27">
        <f t="shared" si="0"/>
        <v>1.8571428571428572</v>
      </c>
      <c r="Z15" s="28">
        <f t="shared" si="1"/>
        <v>0</v>
      </c>
      <c r="AA15" s="34">
        <f t="shared" si="2"/>
        <v>0.61904761904761907</v>
      </c>
      <c r="AB15" s="35">
        <f t="shared" si="3"/>
        <v>0</v>
      </c>
      <c r="AC15" s="36" t="str">
        <f t="shared" si="4"/>
        <v>50-75%</v>
      </c>
      <c r="AD15" s="37" t="str">
        <f t="shared" si="5"/>
        <v xml:space="preserve"> &lt; 50%</v>
      </c>
      <c r="AF15" s="39">
        <v>1</v>
      </c>
      <c r="AG15" s="38"/>
    </row>
    <row r="16" spans="1:33" ht="22.5" customHeight="1" x14ac:dyDescent="0.25">
      <c r="A16" s="11">
        <f>'Список детей'!A13</f>
        <v>12</v>
      </c>
      <c r="B16" s="23" t="str">
        <f>'Список детей'!B13</f>
        <v>Самордин Аким</v>
      </c>
      <c r="C16" s="13">
        <v>0</v>
      </c>
      <c r="D16" s="9"/>
      <c r="E16" s="13">
        <v>0</v>
      </c>
      <c r="F16" s="9"/>
      <c r="G16" s="13">
        <v>0</v>
      </c>
      <c r="H16" s="9"/>
      <c r="I16" s="13">
        <v>1</v>
      </c>
      <c r="J16" s="9"/>
      <c r="K16" s="13">
        <v>1</v>
      </c>
      <c r="L16" s="9"/>
      <c r="M16" s="13">
        <v>0</v>
      </c>
      <c r="N16" s="9"/>
      <c r="O16" s="13">
        <v>1</v>
      </c>
      <c r="P16" s="44"/>
      <c r="Q16" s="13">
        <v>0</v>
      </c>
      <c r="R16" s="44"/>
      <c r="S16" s="13">
        <v>0</v>
      </c>
      <c r="T16" s="44"/>
      <c r="U16" s="13">
        <v>1</v>
      </c>
      <c r="V16" s="44"/>
      <c r="W16" s="13">
        <v>1</v>
      </c>
      <c r="X16" s="9"/>
      <c r="Y16" s="27">
        <f t="shared" si="0"/>
        <v>0.42857142857142855</v>
      </c>
      <c r="Z16" s="28">
        <f t="shared" si="1"/>
        <v>0</v>
      </c>
      <c r="AA16" s="34">
        <f t="shared" si="2"/>
        <v>0.14285714285714285</v>
      </c>
      <c r="AB16" s="35">
        <f t="shared" si="3"/>
        <v>0</v>
      </c>
      <c r="AC16" s="36" t="str">
        <f t="shared" si="4"/>
        <v xml:space="preserve"> &lt; 50%</v>
      </c>
      <c r="AD16" s="37" t="str">
        <f t="shared" si="5"/>
        <v xml:space="preserve"> &lt; 50%</v>
      </c>
      <c r="AF16" s="39">
        <v>1</v>
      </c>
      <c r="AG16" s="38"/>
    </row>
    <row r="17" spans="1:33" ht="22.5" customHeight="1" x14ac:dyDescent="0.25">
      <c r="A17" s="11">
        <f>'Список детей'!A14</f>
        <v>13</v>
      </c>
      <c r="B17" s="23" t="str">
        <f>'Список детей'!B14</f>
        <v>Франк Гектор</v>
      </c>
      <c r="C17" s="13">
        <v>2</v>
      </c>
      <c r="D17" s="9"/>
      <c r="E17" s="13">
        <v>1</v>
      </c>
      <c r="F17" s="9"/>
      <c r="G17" s="13">
        <v>1</v>
      </c>
      <c r="H17" s="9"/>
      <c r="I17" s="13">
        <v>1</v>
      </c>
      <c r="J17" s="9"/>
      <c r="K17" s="13">
        <v>2</v>
      </c>
      <c r="L17" s="9"/>
      <c r="M17" s="13">
        <v>1</v>
      </c>
      <c r="N17" s="9"/>
      <c r="O17" s="13">
        <v>1</v>
      </c>
      <c r="P17" s="44"/>
      <c r="Q17" s="13">
        <v>1</v>
      </c>
      <c r="R17" s="44"/>
      <c r="S17" s="13">
        <v>2</v>
      </c>
      <c r="T17" s="44"/>
      <c r="U17" s="13">
        <v>2</v>
      </c>
      <c r="V17" s="44"/>
      <c r="W17" s="13">
        <v>2</v>
      </c>
      <c r="X17" s="9"/>
      <c r="Y17" s="27">
        <f t="shared" si="0"/>
        <v>1.4285714285714286</v>
      </c>
      <c r="Z17" s="28">
        <f t="shared" si="1"/>
        <v>0</v>
      </c>
      <c r="AA17" s="34">
        <f t="shared" si="2"/>
        <v>0.47619047619047622</v>
      </c>
      <c r="AB17" s="35">
        <f t="shared" si="3"/>
        <v>0</v>
      </c>
      <c r="AC17" s="36" t="str">
        <f t="shared" si="4"/>
        <v>50-75%</v>
      </c>
      <c r="AD17" s="37" t="str">
        <f t="shared" si="5"/>
        <v xml:space="preserve"> &lt; 50%</v>
      </c>
      <c r="AF17" s="39">
        <v>1</v>
      </c>
      <c r="AG17" s="38"/>
    </row>
    <row r="18" spans="1:33" ht="22.5" customHeight="1" x14ac:dyDescent="0.25">
      <c r="A18" s="11">
        <f>'Список детей'!A15</f>
        <v>14</v>
      </c>
      <c r="B18" s="23" t="str">
        <f>'Список детей'!B15</f>
        <v>Швыдченко Кирилл</v>
      </c>
      <c r="C18" s="13">
        <v>1</v>
      </c>
      <c r="D18" s="9"/>
      <c r="E18" s="13">
        <v>1</v>
      </c>
      <c r="F18" s="9"/>
      <c r="G18" s="13">
        <v>1</v>
      </c>
      <c r="H18" s="9"/>
      <c r="I18" s="13">
        <v>1</v>
      </c>
      <c r="J18" s="9"/>
      <c r="K18" s="13">
        <v>2</v>
      </c>
      <c r="L18" s="9"/>
      <c r="M18" s="13">
        <v>1</v>
      </c>
      <c r="N18" s="9"/>
      <c r="O18" s="13">
        <v>2</v>
      </c>
      <c r="P18" s="44"/>
      <c r="Q18" s="13">
        <v>2</v>
      </c>
      <c r="R18" s="44"/>
      <c r="S18" s="13">
        <v>1</v>
      </c>
      <c r="T18" s="44"/>
      <c r="U18" s="13">
        <v>2</v>
      </c>
      <c r="V18" s="44"/>
      <c r="W18" s="13">
        <v>1</v>
      </c>
      <c r="X18" s="9"/>
      <c r="Y18" s="27">
        <f t="shared" si="0"/>
        <v>1.1428571428571428</v>
      </c>
      <c r="Z18" s="28">
        <f t="shared" si="1"/>
        <v>0</v>
      </c>
      <c r="AA18" s="34">
        <f t="shared" si="2"/>
        <v>0.38095238095238093</v>
      </c>
      <c r="AB18" s="35">
        <f t="shared" si="3"/>
        <v>0</v>
      </c>
      <c r="AC18" s="36" t="str">
        <f t="shared" si="4"/>
        <v>50-75%</v>
      </c>
      <c r="AD18" s="37" t="str">
        <f t="shared" si="5"/>
        <v xml:space="preserve"> &lt; 50%</v>
      </c>
      <c r="AF18" s="39">
        <v>1</v>
      </c>
      <c r="AG18" s="38"/>
    </row>
    <row r="19" spans="1:33" ht="22.5" customHeight="1" x14ac:dyDescent="0.25">
      <c r="A19" s="11">
        <f>'Список детей'!A16</f>
        <v>15</v>
      </c>
      <c r="B19" s="23" t="str">
        <f>'Список детей'!B16</f>
        <v>Ребенок 15</v>
      </c>
      <c r="C19" s="13"/>
      <c r="D19" s="9"/>
      <c r="E19" s="13"/>
      <c r="F19" s="9"/>
      <c r="G19" s="13"/>
      <c r="H19" s="9"/>
      <c r="I19" s="13"/>
      <c r="J19" s="9"/>
      <c r="K19" s="13"/>
      <c r="L19" s="9"/>
      <c r="M19" s="13"/>
      <c r="N19" s="9"/>
      <c r="O19" s="13"/>
      <c r="P19" s="44"/>
      <c r="Q19" s="13"/>
      <c r="R19" s="44"/>
      <c r="S19" s="13"/>
      <c r="T19" s="44"/>
      <c r="U19" s="13"/>
      <c r="V19" s="44"/>
      <c r="W19" s="13"/>
      <c r="X19" s="9"/>
      <c r="Y19" s="27">
        <f t="shared" si="0"/>
        <v>0</v>
      </c>
      <c r="Z19" s="28">
        <f t="shared" si="1"/>
        <v>0</v>
      </c>
      <c r="AA19" s="34">
        <f t="shared" si="2"/>
        <v>0</v>
      </c>
      <c r="AB19" s="35">
        <f t="shared" si="3"/>
        <v>0</v>
      </c>
      <c r="AC19" s="36" t="str">
        <f t="shared" si="4"/>
        <v xml:space="preserve"> &lt; 50%</v>
      </c>
      <c r="AD19" s="37" t="str">
        <f t="shared" si="5"/>
        <v xml:space="preserve"> &lt; 50%</v>
      </c>
      <c r="AF19" s="39">
        <v>1</v>
      </c>
      <c r="AG19" s="38"/>
    </row>
    <row r="20" spans="1:33" ht="22.5" customHeight="1" x14ac:dyDescent="0.25">
      <c r="A20" s="11">
        <f>'Список детей'!A17</f>
        <v>16</v>
      </c>
      <c r="B20" s="23" t="str">
        <f>'Список детей'!B17</f>
        <v>Ребенок 16</v>
      </c>
      <c r="C20" s="13"/>
      <c r="D20" s="9"/>
      <c r="E20" s="13"/>
      <c r="F20" s="9"/>
      <c r="G20" s="13"/>
      <c r="H20" s="9"/>
      <c r="I20" s="13"/>
      <c r="J20" s="9"/>
      <c r="K20" s="13"/>
      <c r="L20" s="9"/>
      <c r="M20" s="13"/>
      <c r="N20" s="9"/>
      <c r="O20" s="13"/>
      <c r="P20" s="44"/>
      <c r="Q20" s="13"/>
      <c r="R20" s="44"/>
      <c r="S20" s="13"/>
      <c r="T20" s="44"/>
      <c r="U20" s="13"/>
      <c r="V20" s="44"/>
      <c r="W20" s="13"/>
      <c r="X20" s="9"/>
      <c r="Y20" s="27">
        <f t="shared" si="0"/>
        <v>0</v>
      </c>
      <c r="Z20" s="28">
        <f t="shared" si="1"/>
        <v>0</v>
      </c>
      <c r="AA20" s="34">
        <f t="shared" si="2"/>
        <v>0</v>
      </c>
      <c r="AB20" s="35">
        <f t="shared" si="3"/>
        <v>0</v>
      </c>
      <c r="AC20" s="36" t="str">
        <f t="shared" si="4"/>
        <v xml:space="preserve"> &lt; 50%</v>
      </c>
      <c r="AD20" s="37" t="str">
        <f t="shared" si="5"/>
        <v xml:space="preserve"> &lt; 50%</v>
      </c>
      <c r="AF20" s="39">
        <v>1</v>
      </c>
      <c r="AG20" s="38"/>
    </row>
    <row r="21" spans="1:33" ht="22.5" customHeight="1" x14ac:dyDescent="0.25">
      <c r="A21" s="11">
        <f>'Список детей'!A18</f>
        <v>17</v>
      </c>
      <c r="B21" s="23" t="str">
        <f>'Список детей'!B18</f>
        <v>Ребенок 17</v>
      </c>
      <c r="C21" s="13"/>
      <c r="D21" s="9"/>
      <c r="E21" s="13"/>
      <c r="F21" s="9"/>
      <c r="G21" s="13"/>
      <c r="H21" s="9"/>
      <c r="I21" s="13"/>
      <c r="J21" s="9"/>
      <c r="K21" s="13"/>
      <c r="L21" s="9"/>
      <c r="M21" s="13"/>
      <c r="N21" s="9"/>
      <c r="O21" s="13"/>
      <c r="P21" s="44"/>
      <c r="Q21" s="13"/>
      <c r="R21" s="44"/>
      <c r="S21" s="13"/>
      <c r="T21" s="44"/>
      <c r="U21" s="13"/>
      <c r="V21" s="44"/>
      <c r="W21" s="13"/>
      <c r="X21" s="9"/>
      <c r="Y21" s="27">
        <f t="shared" ref="Y21:Y24" si="6">(C21+E21+G21+I21+K21+M21+W21)/7</f>
        <v>0</v>
      </c>
      <c r="Z21" s="28">
        <f t="shared" ref="Z21:Z24" si="7">(D21+F21+H21+J21+L21+N21+X21)/7</f>
        <v>0</v>
      </c>
      <c r="AA21" s="34">
        <f t="shared" ref="AA21:AA24" si="8">Y21/3</f>
        <v>0</v>
      </c>
      <c r="AB21" s="35">
        <f t="shared" ref="AB21:AB24" si="9">Z21/3</f>
        <v>0</v>
      </c>
      <c r="AC21" s="36" t="str">
        <f t="shared" ref="AC21:AC24" si="10">IF(Y21&lt;=1," &lt; 50%",IF(Y21&lt;2.25,"50-75%","75-100%"))</f>
        <v xml:space="preserve"> &lt; 50%</v>
      </c>
      <c r="AD21" s="37" t="str">
        <f t="shared" ref="AD21:AD24" si="11">IF(Z21&lt;=1," &lt; 50%",IF(Z21&lt;2.25,"50-75%","75-100%"))</f>
        <v xml:space="preserve"> &lt; 50%</v>
      </c>
      <c r="AF21" s="39">
        <v>1</v>
      </c>
      <c r="AG21" s="38"/>
    </row>
    <row r="22" spans="1:33" ht="22.5" customHeight="1" x14ac:dyDescent="0.25">
      <c r="A22" s="11">
        <f>'Список детей'!A19</f>
        <v>18</v>
      </c>
      <c r="B22" s="23" t="str">
        <f>'Список детей'!B19</f>
        <v>Ребенок 18</v>
      </c>
      <c r="C22" s="13"/>
      <c r="D22" s="9"/>
      <c r="E22" s="13"/>
      <c r="F22" s="9"/>
      <c r="G22" s="13"/>
      <c r="H22" s="9"/>
      <c r="I22" s="13"/>
      <c r="J22" s="9"/>
      <c r="K22" s="13"/>
      <c r="L22" s="9"/>
      <c r="M22" s="13"/>
      <c r="N22" s="9"/>
      <c r="O22" s="13"/>
      <c r="P22" s="44"/>
      <c r="Q22" s="13"/>
      <c r="R22" s="44"/>
      <c r="S22" s="13"/>
      <c r="T22" s="44"/>
      <c r="U22" s="13"/>
      <c r="V22" s="44"/>
      <c r="W22" s="13"/>
      <c r="X22" s="9"/>
      <c r="Y22" s="27">
        <f t="shared" si="6"/>
        <v>0</v>
      </c>
      <c r="Z22" s="28">
        <f t="shared" si="7"/>
        <v>0</v>
      </c>
      <c r="AA22" s="34">
        <f t="shared" si="8"/>
        <v>0</v>
      </c>
      <c r="AB22" s="35">
        <f t="shared" si="9"/>
        <v>0</v>
      </c>
      <c r="AC22" s="36" t="str">
        <f t="shared" si="10"/>
        <v xml:space="preserve"> &lt; 50%</v>
      </c>
      <c r="AD22" s="37" t="str">
        <f t="shared" si="11"/>
        <v xml:space="preserve"> &lt; 50%</v>
      </c>
      <c r="AF22" s="39">
        <v>1</v>
      </c>
      <c r="AG22" s="38"/>
    </row>
    <row r="23" spans="1:33" ht="22.5" customHeight="1" x14ac:dyDescent="0.25">
      <c r="A23" s="11">
        <f>'Список детей'!A20</f>
        <v>19</v>
      </c>
      <c r="B23" s="23" t="str">
        <f>'Список детей'!B20</f>
        <v>Ребенок 19</v>
      </c>
      <c r="C23" s="13"/>
      <c r="D23" s="9"/>
      <c r="E23" s="13"/>
      <c r="F23" s="9"/>
      <c r="G23" s="13"/>
      <c r="H23" s="9"/>
      <c r="I23" s="13"/>
      <c r="J23" s="9"/>
      <c r="K23" s="13"/>
      <c r="L23" s="9"/>
      <c r="M23" s="13"/>
      <c r="N23" s="9"/>
      <c r="O23" s="13"/>
      <c r="P23" s="44"/>
      <c r="Q23" s="13"/>
      <c r="R23" s="44"/>
      <c r="S23" s="13"/>
      <c r="T23" s="44"/>
      <c r="U23" s="13"/>
      <c r="V23" s="44"/>
      <c r="W23" s="13"/>
      <c r="X23" s="9"/>
      <c r="Y23" s="27">
        <f t="shared" si="6"/>
        <v>0</v>
      </c>
      <c r="Z23" s="28">
        <f t="shared" si="7"/>
        <v>0</v>
      </c>
      <c r="AA23" s="34">
        <f t="shared" si="8"/>
        <v>0</v>
      </c>
      <c r="AB23" s="35">
        <f t="shared" si="9"/>
        <v>0</v>
      </c>
      <c r="AC23" s="36" t="str">
        <f t="shared" si="10"/>
        <v xml:space="preserve"> &lt; 50%</v>
      </c>
      <c r="AD23" s="37" t="str">
        <f t="shared" si="11"/>
        <v xml:space="preserve"> &lt; 50%</v>
      </c>
      <c r="AF23" s="39">
        <v>1</v>
      </c>
      <c r="AG23" s="38"/>
    </row>
    <row r="24" spans="1:33" ht="22.5" customHeight="1" x14ac:dyDescent="0.25">
      <c r="A24" s="11">
        <f>'Список детей'!A21</f>
        <v>20</v>
      </c>
      <c r="B24" s="23" t="str">
        <f>'Список детей'!B21</f>
        <v>Ребенок 20</v>
      </c>
      <c r="C24" s="13"/>
      <c r="D24" s="9"/>
      <c r="E24" s="13"/>
      <c r="F24" s="9"/>
      <c r="G24" s="13"/>
      <c r="H24" s="9"/>
      <c r="I24" s="13"/>
      <c r="J24" s="9"/>
      <c r="K24" s="13"/>
      <c r="L24" s="9"/>
      <c r="M24" s="13"/>
      <c r="N24" s="9"/>
      <c r="O24" s="13"/>
      <c r="P24" s="44"/>
      <c r="Q24" s="13"/>
      <c r="R24" s="44"/>
      <c r="S24" s="13"/>
      <c r="T24" s="44"/>
      <c r="U24" s="13"/>
      <c r="V24" s="44"/>
      <c r="W24" s="13"/>
      <c r="X24" s="9"/>
      <c r="Y24" s="27">
        <f t="shared" si="6"/>
        <v>0</v>
      </c>
      <c r="Z24" s="28">
        <f t="shared" si="7"/>
        <v>0</v>
      </c>
      <c r="AA24" s="34">
        <f t="shared" si="8"/>
        <v>0</v>
      </c>
      <c r="AB24" s="35">
        <f t="shared" si="9"/>
        <v>0</v>
      </c>
      <c r="AC24" s="36" t="str">
        <f t="shared" si="10"/>
        <v xml:space="preserve"> &lt; 50%</v>
      </c>
      <c r="AD24" s="37" t="str">
        <f t="shared" si="11"/>
        <v xml:space="preserve"> &lt; 50%</v>
      </c>
      <c r="AF24" s="39">
        <v>1</v>
      </c>
      <c r="AG24" s="38"/>
    </row>
    <row r="25" spans="1:33" ht="22.5" customHeight="1" x14ac:dyDescent="0.25">
      <c r="A25" s="11">
        <f>'Список детей'!A22</f>
        <v>21</v>
      </c>
      <c r="B25" s="23" t="str">
        <f>'Список детей'!B22</f>
        <v>-</v>
      </c>
      <c r="C25" s="13"/>
      <c r="D25" s="9"/>
      <c r="E25" s="13"/>
      <c r="F25" s="9"/>
      <c r="G25" s="13"/>
      <c r="H25" s="9"/>
      <c r="I25" s="13"/>
      <c r="J25" s="9"/>
      <c r="K25" s="13"/>
      <c r="L25" s="9"/>
      <c r="M25" s="13"/>
      <c r="N25" s="9"/>
      <c r="O25" s="13"/>
      <c r="P25" s="44"/>
      <c r="Q25" s="13"/>
      <c r="R25" s="44"/>
      <c r="S25" s="13"/>
      <c r="T25" s="44"/>
      <c r="U25" s="13"/>
      <c r="V25" s="44"/>
      <c r="W25" s="13"/>
      <c r="X25" s="9"/>
      <c r="Y25" s="27"/>
      <c r="Z25" s="28"/>
      <c r="AA25" s="34"/>
      <c r="AB25" s="35"/>
      <c r="AC25" s="36"/>
      <c r="AD25" s="37"/>
      <c r="AF25" s="39"/>
      <c r="AG25" s="38"/>
    </row>
    <row r="26" spans="1:33" ht="22.5" customHeight="1" x14ac:dyDescent="0.25">
      <c r="A26" s="11">
        <f>'Список детей'!A23</f>
        <v>22</v>
      </c>
      <c r="B26" s="23" t="str">
        <f>'Список детей'!B23</f>
        <v>-</v>
      </c>
      <c r="C26" s="13"/>
      <c r="D26" s="9"/>
      <c r="E26" s="8"/>
      <c r="F26" s="9"/>
      <c r="G26" s="8"/>
      <c r="H26" s="9"/>
      <c r="I26" s="8"/>
      <c r="J26" s="9"/>
      <c r="K26" s="8"/>
      <c r="L26" s="9"/>
      <c r="M26" s="8"/>
      <c r="N26" s="9"/>
      <c r="O26" s="8"/>
      <c r="P26" s="9"/>
      <c r="Q26" s="8"/>
      <c r="R26" s="9"/>
      <c r="S26" s="8"/>
      <c r="T26" s="9"/>
      <c r="U26" s="8"/>
      <c r="V26" s="9"/>
      <c r="W26" s="8"/>
      <c r="X26" s="9"/>
      <c r="Y26" s="27"/>
      <c r="Z26" s="28"/>
      <c r="AA26" s="34"/>
      <c r="AB26" s="35"/>
      <c r="AC26" s="36"/>
      <c r="AD26" s="37"/>
      <c r="AE26" s="38"/>
      <c r="AF26" s="39"/>
      <c r="AG26" s="38"/>
    </row>
    <row r="27" spans="1:33" ht="22.5" customHeight="1" x14ac:dyDescent="0.25">
      <c r="A27" s="11">
        <f>'Список детей'!A24</f>
        <v>23</v>
      </c>
      <c r="B27" s="23" t="str">
        <f>'Список детей'!B24</f>
        <v>-</v>
      </c>
      <c r="C27" s="13"/>
      <c r="D27" s="9"/>
      <c r="E27" s="8"/>
      <c r="F27" s="9"/>
      <c r="G27" s="8"/>
      <c r="H27" s="9"/>
      <c r="I27" s="8"/>
      <c r="J27" s="9"/>
      <c r="K27" s="8"/>
      <c r="L27" s="9"/>
      <c r="M27" s="8"/>
      <c r="N27" s="9"/>
      <c r="O27" s="8"/>
      <c r="P27" s="9"/>
      <c r="Q27" s="8"/>
      <c r="R27" s="9"/>
      <c r="S27" s="8"/>
      <c r="T27" s="9"/>
      <c r="U27" s="8"/>
      <c r="V27" s="9"/>
      <c r="W27" s="8"/>
      <c r="X27" s="9"/>
      <c r="Y27" s="27"/>
      <c r="Z27" s="28"/>
      <c r="AA27" s="34"/>
      <c r="AB27" s="35"/>
      <c r="AC27" s="36"/>
      <c r="AD27" s="37"/>
      <c r="AE27" s="38"/>
      <c r="AF27" s="39"/>
      <c r="AG27" s="38"/>
    </row>
    <row r="28" spans="1:33" ht="22.5" customHeight="1" x14ac:dyDescent="0.25">
      <c r="A28" s="11"/>
      <c r="B28" s="23"/>
      <c r="C28" s="13"/>
      <c r="D28" s="9"/>
      <c r="E28" s="8"/>
      <c r="F28" s="9"/>
      <c r="G28" s="8"/>
      <c r="H28" s="9"/>
      <c r="I28" s="8"/>
      <c r="J28" s="9"/>
      <c r="K28" s="8"/>
      <c r="L28" s="9"/>
      <c r="M28" s="8"/>
      <c r="N28" s="9"/>
      <c r="O28" s="8"/>
      <c r="P28" s="9"/>
      <c r="Q28" s="8"/>
      <c r="R28" s="9"/>
      <c r="S28" s="8"/>
      <c r="T28" s="9"/>
      <c r="U28" s="8"/>
      <c r="V28" s="9"/>
      <c r="W28" s="8"/>
      <c r="X28" s="9"/>
      <c r="Y28" s="27"/>
      <c r="Z28" s="28"/>
      <c r="AA28" s="29"/>
      <c r="AB28" s="30"/>
      <c r="AC28" s="29"/>
      <c r="AD28" s="30"/>
      <c r="AE28" s="38"/>
      <c r="AF28" s="38"/>
      <c r="AG28" s="38"/>
    </row>
    <row r="29" spans="1:33" ht="22.5" customHeight="1" x14ac:dyDescent="0.25">
      <c r="A29" s="11"/>
      <c r="B29" s="23"/>
      <c r="C29" s="13"/>
      <c r="D29" s="9"/>
      <c r="E29" s="8"/>
      <c r="F29" s="9"/>
      <c r="G29" s="8"/>
      <c r="H29" s="9"/>
      <c r="I29" s="8"/>
      <c r="J29" s="9"/>
      <c r="K29" s="8"/>
      <c r="L29" s="9"/>
      <c r="M29" s="8"/>
      <c r="N29" s="9"/>
      <c r="O29" s="8"/>
      <c r="P29" s="9"/>
      <c r="Q29" s="8"/>
      <c r="R29" s="9"/>
      <c r="S29" s="8"/>
      <c r="T29" s="9"/>
      <c r="U29" s="8"/>
      <c r="V29" s="9"/>
      <c r="W29" s="8"/>
      <c r="X29" s="9"/>
      <c r="Y29" s="27"/>
      <c r="Z29" s="28"/>
      <c r="AA29" s="29"/>
      <c r="AB29" s="30"/>
      <c r="AC29" s="29"/>
      <c r="AD29" s="30"/>
      <c r="AE29" s="38"/>
      <c r="AF29" s="38"/>
      <c r="AG29" s="38"/>
    </row>
    <row r="30" spans="1:33" s="7" customFormat="1" ht="38.25" customHeight="1" x14ac:dyDescent="0.25">
      <c r="A30" s="45" t="s">
        <v>6</v>
      </c>
      <c r="B30" s="45"/>
      <c r="C30" s="18">
        <f>SUM(C5:C29)/'Список детей'!$C$34</f>
        <v>1.2142857142857142</v>
      </c>
      <c r="D30" s="15">
        <f>SUM(D5:D29)/'Список детей'!$C$34</f>
        <v>0</v>
      </c>
      <c r="E30" s="18">
        <f>SUM(E5:E29)/'Список детей'!$C$34</f>
        <v>1.2142857142857142</v>
      </c>
      <c r="F30" s="15">
        <f>SUM(F5:F29)/'Список детей'!$C$34</f>
        <v>0</v>
      </c>
      <c r="G30" s="18">
        <f>SUM(G5:G29)/'Список детей'!$C$34</f>
        <v>1</v>
      </c>
      <c r="H30" s="15">
        <f>SUM(H5:H29)/'Список детей'!$C$34</f>
        <v>0</v>
      </c>
      <c r="I30" s="18">
        <f>SUM(I5:I29)/'Список детей'!$C$34</f>
        <v>1</v>
      </c>
      <c r="J30" s="15">
        <f>SUM(J5:J29)/'Список детей'!$C$34</f>
        <v>0</v>
      </c>
      <c r="K30" s="18">
        <f>SUM(K5:K29)/'Список детей'!$C$34</f>
        <v>1.5714285714285714</v>
      </c>
      <c r="L30" s="15">
        <f>SUM(L5:L29)/'Список детей'!$C$34</f>
        <v>0</v>
      </c>
      <c r="M30" s="18">
        <f>SUM(M5:M29)/'Список детей'!$C$34</f>
        <v>1.0714285714285714</v>
      </c>
      <c r="N30" s="15">
        <f>SUM(N5:N29)/'Список детей'!$C$34</f>
        <v>0</v>
      </c>
      <c r="O30" s="18">
        <f>SUM(O5:O29)/'Список детей'!$C$34</f>
        <v>1.5</v>
      </c>
      <c r="P30" s="15">
        <f>SUM(P5:P29)/'Список детей'!$C$34</f>
        <v>0</v>
      </c>
      <c r="Q30" s="18">
        <f>SUM(Q5:Q29)/'Список детей'!$C$34</f>
        <v>1.2142857142857142</v>
      </c>
      <c r="R30" s="15">
        <f>SUM(R5:R29)/'Список детей'!$C$34</f>
        <v>0</v>
      </c>
      <c r="S30" s="18">
        <f>SUM(S5:S29)/'Список детей'!$C$34</f>
        <v>1</v>
      </c>
      <c r="T30" s="15">
        <f>SUM(T5:T29)/'Список детей'!$C$34</f>
        <v>0</v>
      </c>
      <c r="U30" s="18">
        <f>SUM(U5:U29)/'Список детей'!$C$34</f>
        <v>1.8571428571428572</v>
      </c>
      <c r="V30" s="15">
        <f>SUM(V5:V29)/'Список детей'!$C$34</f>
        <v>0</v>
      </c>
      <c r="W30" s="18">
        <f>SUM(W5:W29)/'Список детей'!$C$34</f>
        <v>1.7142857142857142</v>
      </c>
      <c r="X30" s="15">
        <f>SUM(X5:X29)/'Список детей'!$C$34</f>
        <v>0</v>
      </c>
      <c r="Y30" s="27">
        <f>(C30+E30+G30+I30+K30+M30+W30+O30+Q30+S30+U30)/11</f>
        <v>1.305194805194805</v>
      </c>
      <c r="Z30" s="15">
        <f>(D30+F30+H30+J30+L30+N30+X30+P30+R30+T30+V30)/11</f>
        <v>0</v>
      </c>
      <c r="AA30" s="29">
        <f>SUM(AA5:AA25)/'Список детей'!$C$34</f>
        <v>0.42145949288806428</v>
      </c>
      <c r="AB30" s="30">
        <f>SUM(AB5:AB25)/'Список детей'!$C$34</f>
        <v>0</v>
      </c>
      <c r="AC30" s="27"/>
      <c r="AD30" s="28"/>
      <c r="AE30" s="38"/>
      <c r="AF30" s="38"/>
      <c r="AG30" s="38"/>
    </row>
    <row r="31" spans="1:33" x14ac:dyDescent="0.25">
      <c r="AD31" s="7"/>
      <c r="AE31" s="7"/>
      <c r="AF31" s="38"/>
    </row>
    <row r="32" spans="1:33" x14ac:dyDescent="0.25">
      <c r="N32" s="32"/>
      <c r="O32" s="32"/>
      <c r="P32" s="32"/>
      <c r="Q32" s="32"/>
      <c r="R32" s="32"/>
      <c r="S32" s="32"/>
      <c r="T32" s="32"/>
      <c r="U32" s="32"/>
      <c r="V32" s="32"/>
      <c r="W32" s="43" t="s">
        <v>24</v>
      </c>
      <c r="X32" s="43" t="s">
        <v>23</v>
      </c>
      <c r="AD32" s="7"/>
      <c r="AE32" s="7"/>
      <c r="AF32" s="38"/>
    </row>
    <row r="33" spans="14:32" x14ac:dyDescent="0.25">
      <c r="N33" s="33" t="s">
        <v>16</v>
      </c>
      <c r="O33" s="33"/>
      <c r="P33" s="33"/>
      <c r="Q33" s="33"/>
      <c r="R33" s="33"/>
      <c r="S33" s="33"/>
      <c r="T33" s="33"/>
      <c r="U33" s="33"/>
      <c r="V33" s="33"/>
      <c r="W33" s="6">
        <f>SUMIF(AC5:AC29," &lt; 50%",AF5:AF29)</f>
        <v>10</v>
      </c>
      <c r="X33" s="6">
        <f>SUMIF(AD5:AD29," &lt; 50%",AF5:AF29)</f>
        <v>20</v>
      </c>
      <c r="AD33" s="7"/>
      <c r="AE33" s="7"/>
      <c r="AF33" s="38"/>
    </row>
    <row r="34" spans="14:32" x14ac:dyDescent="0.25">
      <c r="N34" s="33" t="s">
        <v>17</v>
      </c>
      <c r="O34" s="33"/>
      <c r="P34" s="33"/>
      <c r="Q34" s="33"/>
      <c r="R34" s="33"/>
      <c r="S34" s="33"/>
      <c r="T34" s="33"/>
      <c r="U34" s="33"/>
      <c r="V34" s="33"/>
      <c r="W34" s="6">
        <f>SUMIF(AC5:AC29,"50-75%",AF5:AF29)</f>
        <v>10</v>
      </c>
      <c r="X34" s="6">
        <f>SUMIF(AD5:AD29,"50-75%",AF5:AF29)</f>
        <v>0</v>
      </c>
      <c r="AD34" s="7"/>
      <c r="AE34" s="7"/>
      <c r="AF34" s="38"/>
    </row>
    <row r="35" spans="14:32" x14ac:dyDescent="0.25">
      <c r="N35" s="33" t="s">
        <v>19</v>
      </c>
      <c r="O35" s="33"/>
      <c r="P35" s="33"/>
      <c r="Q35" s="33"/>
      <c r="R35" s="33"/>
      <c r="S35" s="33"/>
      <c r="T35" s="33"/>
      <c r="U35" s="33"/>
      <c r="V35" s="33"/>
      <c r="W35" s="6">
        <f>SUMIF(AC5:AC29,"75-100%",AF5:AF29)</f>
        <v>0</v>
      </c>
      <c r="X35" s="6">
        <f>SUMIF(AD5:AD29,"75-100%",AF5:AF29)</f>
        <v>0</v>
      </c>
      <c r="AD35" s="7"/>
      <c r="AE35" s="7"/>
      <c r="AF35" s="38"/>
    </row>
    <row r="36" spans="14:32" x14ac:dyDescent="0.25">
      <c r="N36" s="32"/>
      <c r="O36" s="32"/>
      <c r="P36" s="32"/>
      <c r="Q36" s="32"/>
      <c r="R36" s="32"/>
      <c r="S36" s="32"/>
      <c r="T36" s="32"/>
      <c r="U36" s="32"/>
      <c r="V36" s="32"/>
      <c r="AD36" s="7"/>
      <c r="AE36" s="7"/>
      <c r="AF36" s="38"/>
    </row>
    <row r="37" spans="14:32" x14ac:dyDescent="0.25">
      <c r="N37" s="33"/>
      <c r="O37" s="33"/>
      <c r="P37" s="33"/>
      <c r="Q37" s="33"/>
      <c r="R37" s="33"/>
      <c r="S37" s="33"/>
      <c r="T37" s="33"/>
      <c r="U37" s="33"/>
      <c r="V37" s="33"/>
      <c r="AD37" s="7"/>
      <c r="AE37" s="7"/>
      <c r="AF37" s="38"/>
    </row>
    <row r="38" spans="14:32" x14ac:dyDescent="0.25">
      <c r="N38" s="33"/>
      <c r="O38" s="33"/>
      <c r="P38" s="33"/>
      <c r="Q38" s="33"/>
      <c r="R38" s="33"/>
      <c r="S38" s="33"/>
      <c r="T38" s="33"/>
      <c r="U38" s="33"/>
      <c r="V38" s="33"/>
      <c r="AD38" s="7"/>
      <c r="AE38" s="7"/>
      <c r="AF38" s="38"/>
    </row>
    <row r="39" spans="14:32" x14ac:dyDescent="0.25">
      <c r="N39" s="33"/>
      <c r="O39" s="33"/>
      <c r="P39" s="33"/>
      <c r="Q39" s="33"/>
      <c r="R39" s="33"/>
      <c r="S39" s="33"/>
      <c r="T39" s="33"/>
      <c r="U39" s="33"/>
      <c r="V39" s="33"/>
      <c r="AD39" s="7"/>
      <c r="AE39" s="7"/>
      <c r="AF39" s="38"/>
    </row>
    <row r="40" spans="14:32" x14ac:dyDescent="0.25">
      <c r="AD40" s="7"/>
      <c r="AE40" s="7"/>
      <c r="AF40" s="38"/>
    </row>
    <row r="41" spans="14:32" x14ac:dyDescent="0.25">
      <c r="AD41" s="7"/>
      <c r="AE41" s="7"/>
      <c r="AF41" s="38"/>
    </row>
    <row r="42" spans="14:32" x14ac:dyDescent="0.25">
      <c r="AD42" s="7"/>
      <c r="AE42" s="7"/>
      <c r="AF42" s="38"/>
    </row>
    <row r="43" spans="14:32" x14ac:dyDescent="0.25">
      <c r="AD43" s="7"/>
      <c r="AE43" s="7"/>
      <c r="AF43" s="38"/>
    </row>
    <row r="44" spans="14:32" x14ac:dyDescent="0.25">
      <c r="AD44" s="7"/>
      <c r="AE44" s="7"/>
      <c r="AF44" s="38"/>
    </row>
    <row r="45" spans="14:32" x14ac:dyDescent="0.25">
      <c r="AD45" s="7"/>
      <c r="AE45" s="7"/>
    </row>
    <row r="46" spans="14:32" x14ac:dyDescent="0.25">
      <c r="AD46" s="7"/>
      <c r="AE46" s="7"/>
    </row>
    <row r="47" spans="14:32" x14ac:dyDescent="0.25">
      <c r="AD47" s="7"/>
      <c r="AE47" s="7"/>
    </row>
    <row r="48" spans="14:32" x14ac:dyDescent="0.25">
      <c r="AD48" s="7"/>
      <c r="AE48" s="7"/>
    </row>
  </sheetData>
  <mergeCells count="17">
    <mergeCell ref="AC3:AD3"/>
    <mergeCell ref="AA3:AB3"/>
    <mergeCell ref="Y3:Z3"/>
    <mergeCell ref="A30:B30"/>
    <mergeCell ref="I3:J3"/>
    <mergeCell ref="K3:L3"/>
    <mergeCell ref="M3:N3"/>
    <mergeCell ref="W3:X3"/>
    <mergeCell ref="A3:A4"/>
    <mergeCell ref="B3:B4"/>
    <mergeCell ref="C3:D3"/>
    <mergeCell ref="E3:F3"/>
    <mergeCell ref="G3:H3"/>
    <mergeCell ref="O3:P3"/>
    <mergeCell ref="Q3:R3"/>
    <mergeCell ref="S3:T3"/>
    <mergeCell ref="U3:V3"/>
  </mergeCells>
  <pageMargins left="0.70866141732283472" right="0.70866141732283472" top="0.74803149606299213" bottom="0.74803149606299213" header="0.51181102362204722" footer="0.51181102362204722"/>
  <pageSetup paperSize="9" scale="41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9"/>
  <sheetViews>
    <sheetView zoomScale="70" zoomScaleNormal="70" workbookViewId="0">
      <selection activeCell="B2" sqref="B2"/>
    </sheetView>
  </sheetViews>
  <sheetFormatPr defaultRowHeight="15" x14ac:dyDescent="0.25"/>
  <cols>
    <col min="1" max="1" width="4.85546875" customWidth="1"/>
    <col min="2" max="2" width="30" customWidth="1"/>
    <col min="3" max="10" width="8.7109375" customWidth="1"/>
    <col min="11" max="12" width="9.140625" style="1" customWidth="1"/>
    <col min="13" max="14" width="8.7109375" customWidth="1"/>
    <col min="15" max="15" width="9.42578125" bestFit="1" customWidth="1"/>
    <col min="16" max="16" width="10.5703125" bestFit="1" customWidth="1"/>
    <col min="17" max="1025" width="8.7109375" customWidth="1"/>
  </cols>
  <sheetData>
    <row r="1" spans="1:18" x14ac:dyDescent="0.25">
      <c r="A1" s="6"/>
      <c r="B1" s="16" t="s">
        <v>11</v>
      </c>
      <c r="D1" s="6"/>
      <c r="E1" s="6"/>
      <c r="F1" s="6"/>
      <c r="G1" s="6"/>
      <c r="H1" s="6"/>
      <c r="I1" s="6"/>
      <c r="J1" s="6"/>
      <c r="K1" s="7"/>
      <c r="L1" s="7"/>
      <c r="M1" s="6"/>
      <c r="N1" s="6"/>
    </row>
    <row r="2" spans="1:18" x14ac:dyDescent="0.25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7"/>
      <c r="L2" s="7"/>
      <c r="M2" s="6"/>
      <c r="N2" s="6"/>
    </row>
    <row r="3" spans="1:18" ht="174" customHeight="1" x14ac:dyDescent="0.25">
      <c r="A3" s="47" t="s">
        <v>1</v>
      </c>
      <c r="B3" s="48" t="s">
        <v>2</v>
      </c>
      <c r="C3" s="55" t="s">
        <v>77</v>
      </c>
      <c r="D3" s="47"/>
      <c r="E3" s="55" t="s">
        <v>79</v>
      </c>
      <c r="F3" s="47"/>
      <c r="G3" s="55" t="s">
        <v>80</v>
      </c>
      <c r="H3" s="47"/>
      <c r="I3" s="54" t="s">
        <v>78</v>
      </c>
      <c r="J3" s="54"/>
      <c r="K3" s="45" t="s">
        <v>3</v>
      </c>
      <c r="L3" s="45"/>
      <c r="M3" s="45" t="s">
        <v>4</v>
      </c>
      <c r="N3" s="45"/>
      <c r="O3" s="45" t="s">
        <v>18</v>
      </c>
      <c r="P3" s="45"/>
    </row>
    <row r="4" spans="1:18" ht="20.85" customHeight="1" x14ac:dyDescent="0.25">
      <c r="A4" s="47"/>
      <c r="B4" s="48"/>
      <c r="C4" s="8" t="s">
        <v>20</v>
      </c>
      <c r="D4" s="9" t="s">
        <v>5</v>
      </c>
      <c r="E4" s="8" t="s">
        <v>20</v>
      </c>
      <c r="F4" s="9" t="s">
        <v>5</v>
      </c>
      <c r="G4" s="8" t="s">
        <v>20</v>
      </c>
      <c r="H4" s="9" t="s">
        <v>5</v>
      </c>
      <c r="I4" s="8" t="s">
        <v>20</v>
      </c>
      <c r="J4" s="9" t="s">
        <v>5</v>
      </c>
      <c r="K4" s="10" t="s">
        <v>20</v>
      </c>
      <c r="L4" s="25" t="s">
        <v>5</v>
      </c>
      <c r="M4" s="10" t="s">
        <v>20</v>
      </c>
      <c r="N4" s="25" t="s">
        <v>5</v>
      </c>
      <c r="O4" s="27" t="s">
        <v>20</v>
      </c>
      <c r="P4" s="28" t="s">
        <v>5</v>
      </c>
    </row>
    <row r="5" spans="1:18" ht="22.5" customHeight="1" x14ac:dyDescent="0.25">
      <c r="A5" s="8">
        <f>'Список детей'!A2</f>
        <v>1</v>
      </c>
      <c r="B5" s="23" t="str">
        <f>'Список детей'!B2</f>
        <v>Бобрышев Мрон</v>
      </c>
      <c r="C5" s="8">
        <v>1</v>
      </c>
      <c r="D5" s="9"/>
      <c r="E5" s="8">
        <v>1</v>
      </c>
      <c r="F5" s="9"/>
      <c r="G5" s="8">
        <v>1</v>
      </c>
      <c r="H5" s="9"/>
      <c r="I5" s="8">
        <v>1</v>
      </c>
      <c r="J5" s="9"/>
      <c r="K5" s="18">
        <f t="shared" ref="K5:K20" si="0">(C5+E5+G5+I5)/4</f>
        <v>1</v>
      </c>
      <c r="L5" s="41">
        <f t="shared" ref="L5:L20" si="1">(D5+F5+H5+J5)/4</f>
        <v>0</v>
      </c>
      <c r="M5" s="14">
        <f t="shared" ref="M5:M20" si="2">K5/3</f>
        <v>0.33333333333333331</v>
      </c>
      <c r="N5" s="26">
        <f t="shared" ref="N5:N20" si="3">L5/3</f>
        <v>0</v>
      </c>
      <c r="O5" s="36" t="str">
        <f>IF(K5&lt;=1," &lt; 50%",IF(K5&lt;2.25,"50-75%","75-100%"))</f>
        <v xml:space="preserve"> &lt; 50%</v>
      </c>
      <c r="P5" s="37" t="str">
        <f>IF(L5&lt;=1," &lt; 50%",IF(L5&lt;2.25,"50-75%","75-100%"))</f>
        <v xml:space="preserve"> &lt; 50%</v>
      </c>
      <c r="R5">
        <v>1</v>
      </c>
    </row>
    <row r="6" spans="1:18" ht="22.5" customHeight="1" x14ac:dyDescent="0.25">
      <c r="A6" s="8">
        <f>'Список детей'!A3</f>
        <v>2</v>
      </c>
      <c r="B6" s="23" t="str">
        <f>'Список детей'!B3</f>
        <v>Буяновская Варвара</v>
      </c>
      <c r="C6" s="8">
        <v>2</v>
      </c>
      <c r="D6" s="9"/>
      <c r="E6" s="8">
        <v>2</v>
      </c>
      <c r="F6" s="9"/>
      <c r="G6" s="8">
        <v>2</v>
      </c>
      <c r="H6" s="9"/>
      <c r="I6" s="8">
        <v>1</v>
      </c>
      <c r="J6" s="9"/>
      <c r="K6" s="18">
        <f t="shared" si="0"/>
        <v>1.75</v>
      </c>
      <c r="L6" s="41">
        <f t="shared" si="1"/>
        <v>0</v>
      </c>
      <c r="M6" s="14">
        <f t="shared" si="2"/>
        <v>0.58333333333333337</v>
      </c>
      <c r="N6" s="26">
        <f t="shared" si="3"/>
        <v>0</v>
      </c>
      <c r="O6" s="36" t="str">
        <f t="shared" ref="O6:P20" si="4">IF(K6&lt;=1," &lt; 50%",IF(K6&lt;2.25,"50-75%","75-100%"))</f>
        <v>50-75%</v>
      </c>
      <c r="P6" s="37" t="str">
        <f t="shared" si="4"/>
        <v xml:space="preserve"> &lt; 50%</v>
      </c>
      <c r="R6">
        <v>1</v>
      </c>
    </row>
    <row r="7" spans="1:18" ht="22.5" customHeight="1" x14ac:dyDescent="0.25">
      <c r="A7" s="8">
        <f>'Список детей'!A4</f>
        <v>3</v>
      </c>
      <c r="B7" s="23" t="str">
        <f>'Список детей'!B4</f>
        <v>Визиров Саша</v>
      </c>
      <c r="C7" s="8">
        <v>3</v>
      </c>
      <c r="D7" s="9"/>
      <c r="E7" s="8">
        <v>2</v>
      </c>
      <c r="F7" s="9"/>
      <c r="G7" s="8">
        <v>3</v>
      </c>
      <c r="H7" s="9"/>
      <c r="I7" s="8">
        <v>2</v>
      </c>
      <c r="J7" s="9"/>
      <c r="K7" s="18">
        <f t="shared" si="0"/>
        <v>2.5</v>
      </c>
      <c r="L7" s="41">
        <f t="shared" si="1"/>
        <v>0</v>
      </c>
      <c r="M7" s="14">
        <f t="shared" si="2"/>
        <v>0.83333333333333337</v>
      </c>
      <c r="N7" s="26">
        <f t="shared" si="3"/>
        <v>0</v>
      </c>
      <c r="O7" s="36" t="str">
        <f t="shared" si="4"/>
        <v>75-100%</v>
      </c>
      <c r="P7" s="37" t="str">
        <f t="shared" si="4"/>
        <v xml:space="preserve"> &lt; 50%</v>
      </c>
      <c r="R7">
        <v>1</v>
      </c>
    </row>
    <row r="8" spans="1:18" ht="22.5" customHeight="1" x14ac:dyDescent="0.25">
      <c r="A8" s="8">
        <f>'Список детей'!A5</f>
        <v>4</v>
      </c>
      <c r="B8" s="23" t="str">
        <f>'Список детей'!B5</f>
        <v>Волкова Аня</v>
      </c>
      <c r="C8" s="8">
        <v>2</v>
      </c>
      <c r="D8" s="9"/>
      <c r="E8" s="8">
        <v>2</v>
      </c>
      <c r="F8" s="9"/>
      <c r="G8" s="8">
        <v>2</v>
      </c>
      <c r="H8" s="9"/>
      <c r="I8" s="8">
        <v>2</v>
      </c>
      <c r="J8" s="9"/>
      <c r="K8" s="18">
        <f t="shared" si="0"/>
        <v>2</v>
      </c>
      <c r="L8" s="41">
        <f t="shared" si="1"/>
        <v>0</v>
      </c>
      <c r="M8" s="14">
        <f t="shared" si="2"/>
        <v>0.66666666666666663</v>
      </c>
      <c r="N8" s="26">
        <f t="shared" si="3"/>
        <v>0</v>
      </c>
      <c r="O8" s="36" t="str">
        <f t="shared" si="4"/>
        <v>50-75%</v>
      </c>
      <c r="P8" s="37" t="str">
        <f t="shared" si="4"/>
        <v xml:space="preserve"> &lt; 50%</v>
      </c>
      <c r="R8">
        <v>1</v>
      </c>
    </row>
    <row r="9" spans="1:18" ht="22.5" customHeight="1" x14ac:dyDescent="0.25">
      <c r="A9" s="8">
        <f>'Список детей'!A6</f>
        <v>5</v>
      </c>
      <c r="B9" s="23" t="str">
        <f>'Список детей'!B6</f>
        <v>Волков Даня</v>
      </c>
      <c r="C9" s="8">
        <v>3</v>
      </c>
      <c r="D9" s="9"/>
      <c r="E9" s="8">
        <v>2</v>
      </c>
      <c r="F9" s="9"/>
      <c r="G9" s="8">
        <v>3</v>
      </c>
      <c r="H9" s="9"/>
      <c r="I9" s="8">
        <v>2</v>
      </c>
      <c r="J9" s="9"/>
      <c r="K9" s="18">
        <f t="shared" si="0"/>
        <v>2.5</v>
      </c>
      <c r="L9" s="41">
        <f t="shared" si="1"/>
        <v>0</v>
      </c>
      <c r="M9" s="14">
        <f t="shared" si="2"/>
        <v>0.83333333333333337</v>
      </c>
      <c r="N9" s="26">
        <f t="shared" si="3"/>
        <v>0</v>
      </c>
      <c r="O9" s="36" t="str">
        <f t="shared" si="4"/>
        <v>75-100%</v>
      </c>
      <c r="P9" s="37" t="str">
        <f t="shared" si="4"/>
        <v xml:space="preserve"> &lt; 50%</v>
      </c>
      <c r="R9">
        <v>1</v>
      </c>
    </row>
    <row r="10" spans="1:18" ht="22.5" customHeight="1" x14ac:dyDescent="0.25">
      <c r="A10" s="8">
        <f>'Список детей'!A7</f>
        <v>6</v>
      </c>
      <c r="B10" s="23" t="str">
        <f>'Список детей'!B7</f>
        <v>Григорьева Эмилия</v>
      </c>
      <c r="C10" s="8"/>
      <c r="D10" s="9"/>
      <c r="E10" s="8"/>
      <c r="F10" s="9"/>
      <c r="G10" s="8"/>
      <c r="H10" s="9"/>
      <c r="I10" s="8"/>
      <c r="J10" s="9"/>
      <c r="K10" s="18">
        <f t="shared" si="0"/>
        <v>0</v>
      </c>
      <c r="L10" s="41">
        <f t="shared" si="1"/>
        <v>0</v>
      </c>
      <c r="M10" s="14">
        <f t="shared" si="2"/>
        <v>0</v>
      </c>
      <c r="N10" s="26">
        <f t="shared" si="3"/>
        <v>0</v>
      </c>
      <c r="O10" s="36" t="str">
        <f t="shared" si="4"/>
        <v xml:space="preserve"> &lt; 50%</v>
      </c>
      <c r="P10" s="37" t="str">
        <f t="shared" si="4"/>
        <v xml:space="preserve"> &lt; 50%</v>
      </c>
      <c r="R10">
        <v>1</v>
      </c>
    </row>
    <row r="11" spans="1:18" ht="22.5" customHeight="1" x14ac:dyDescent="0.25">
      <c r="A11" s="8">
        <f>'Список детей'!A8</f>
        <v>7</v>
      </c>
      <c r="B11" s="23" t="str">
        <f>'Список детей'!B8</f>
        <v>Головастов Вова</v>
      </c>
      <c r="C11" s="8">
        <v>0</v>
      </c>
      <c r="D11" s="9"/>
      <c r="E11" s="8">
        <v>0</v>
      </c>
      <c r="F11" s="9"/>
      <c r="G11" s="8">
        <v>0</v>
      </c>
      <c r="H11" s="9"/>
      <c r="I11" s="8">
        <v>1</v>
      </c>
      <c r="J11" s="9"/>
      <c r="K11" s="18">
        <f t="shared" si="0"/>
        <v>0.25</v>
      </c>
      <c r="L11" s="41">
        <f t="shared" si="1"/>
        <v>0</v>
      </c>
      <c r="M11" s="14">
        <f t="shared" si="2"/>
        <v>8.3333333333333329E-2</v>
      </c>
      <c r="N11" s="26">
        <f t="shared" si="3"/>
        <v>0</v>
      </c>
      <c r="O11" s="36" t="str">
        <f t="shared" si="4"/>
        <v xml:space="preserve"> &lt; 50%</v>
      </c>
      <c r="P11" s="37" t="str">
        <f t="shared" si="4"/>
        <v xml:space="preserve"> &lt; 50%</v>
      </c>
      <c r="R11">
        <v>1</v>
      </c>
    </row>
    <row r="12" spans="1:18" ht="22.5" customHeight="1" x14ac:dyDescent="0.25">
      <c r="A12" s="8">
        <f>'Список детей'!A9</f>
        <v>8</v>
      </c>
      <c r="B12" s="23" t="str">
        <f>'Список детей'!B9</f>
        <v>Ковалев Богдан</v>
      </c>
      <c r="C12" s="8">
        <v>0</v>
      </c>
      <c r="D12" s="9"/>
      <c r="E12" s="8">
        <v>0</v>
      </c>
      <c r="F12" s="9"/>
      <c r="G12" s="8">
        <v>0</v>
      </c>
      <c r="H12" s="9"/>
      <c r="I12" s="8">
        <v>1</v>
      </c>
      <c r="J12" s="9"/>
      <c r="K12" s="18">
        <f t="shared" si="0"/>
        <v>0.25</v>
      </c>
      <c r="L12" s="41">
        <f t="shared" si="1"/>
        <v>0</v>
      </c>
      <c r="M12" s="14">
        <f t="shared" si="2"/>
        <v>8.3333333333333329E-2</v>
      </c>
      <c r="N12" s="26">
        <f t="shared" si="3"/>
        <v>0</v>
      </c>
      <c r="O12" s="36" t="str">
        <f t="shared" si="4"/>
        <v xml:space="preserve"> &lt; 50%</v>
      </c>
      <c r="P12" s="37" t="str">
        <f t="shared" si="4"/>
        <v xml:space="preserve"> &lt; 50%</v>
      </c>
      <c r="R12">
        <v>1</v>
      </c>
    </row>
    <row r="13" spans="1:18" ht="22.5" customHeight="1" x14ac:dyDescent="0.25">
      <c r="A13" s="8">
        <f>'Список детей'!A10</f>
        <v>9</v>
      </c>
      <c r="B13" s="23" t="str">
        <f>'Список детей'!B10</f>
        <v>Назаренко Максим</v>
      </c>
      <c r="C13" s="8">
        <v>2</v>
      </c>
      <c r="D13" s="9"/>
      <c r="E13" s="8">
        <v>1</v>
      </c>
      <c r="F13" s="9"/>
      <c r="G13" s="8">
        <v>1</v>
      </c>
      <c r="H13" s="9"/>
      <c r="I13" s="8">
        <v>2</v>
      </c>
      <c r="J13" s="9"/>
      <c r="K13" s="18">
        <f t="shared" si="0"/>
        <v>1.5</v>
      </c>
      <c r="L13" s="41">
        <f t="shared" si="1"/>
        <v>0</v>
      </c>
      <c r="M13" s="14">
        <f t="shared" si="2"/>
        <v>0.5</v>
      </c>
      <c r="N13" s="26">
        <f t="shared" si="3"/>
        <v>0</v>
      </c>
      <c r="O13" s="36" t="str">
        <f t="shared" si="4"/>
        <v>50-75%</v>
      </c>
      <c r="P13" s="37" t="str">
        <f t="shared" si="4"/>
        <v xml:space="preserve"> &lt; 50%</v>
      </c>
      <c r="R13">
        <v>1</v>
      </c>
    </row>
    <row r="14" spans="1:18" ht="22.5" customHeight="1" x14ac:dyDescent="0.25">
      <c r="A14" s="8">
        <f>'Список детей'!A11</f>
        <v>10</v>
      </c>
      <c r="B14" s="23" t="str">
        <f>'Список детей'!B11</f>
        <v>Пеньков Лев</v>
      </c>
      <c r="C14" s="8">
        <v>0</v>
      </c>
      <c r="D14" s="9"/>
      <c r="E14" s="8">
        <v>0</v>
      </c>
      <c r="F14" s="9"/>
      <c r="G14" s="8">
        <v>0</v>
      </c>
      <c r="H14" s="9"/>
      <c r="I14" s="8">
        <v>1</v>
      </c>
      <c r="J14" s="9"/>
      <c r="K14" s="18">
        <f t="shared" si="0"/>
        <v>0.25</v>
      </c>
      <c r="L14" s="41">
        <f t="shared" si="1"/>
        <v>0</v>
      </c>
      <c r="M14" s="14">
        <f t="shared" si="2"/>
        <v>8.3333333333333329E-2</v>
      </c>
      <c r="N14" s="26">
        <f t="shared" si="3"/>
        <v>0</v>
      </c>
      <c r="O14" s="36" t="str">
        <f t="shared" si="4"/>
        <v xml:space="preserve"> &lt; 50%</v>
      </c>
      <c r="P14" s="37" t="str">
        <f t="shared" si="4"/>
        <v xml:space="preserve"> &lt; 50%</v>
      </c>
      <c r="R14">
        <v>1</v>
      </c>
    </row>
    <row r="15" spans="1:18" ht="22.5" customHeight="1" x14ac:dyDescent="0.25">
      <c r="A15" s="8">
        <f>'Список детей'!A12</f>
        <v>11</v>
      </c>
      <c r="B15" s="23" t="str">
        <f>'Список детей'!B12</f>
        <v>Скворцова Вероника</v>
      </c>
      <c r="C15" s="8">
        <v>2</v>
      </c>
      <c r="D15" s="9"/>
      <c r="E15" s="8">
        <v>2</v>
      </c>
      <c r="F15" s="9"/>
      <c r="G15" s="8">
        <v>2</v>
      </c>
      <c r="H15" s="9"/>
      <c r="I15" s="8">
        <v>2</v>
      </c>
      <c r="J15" s="9"/>
      <c r="K15" s="18">
        <f t="shared" si="0"/>
        <v>2</v>
      </c>
      <c r="L15" s="41">
        <f t="shared" si="1"/>
        <v>0</v>
      </c>
      <c r="M15" s="14">
        <f t="shared" si="2"/>
        <v>0.66666666666666663</v>
      </c>
      <c r="N15" s="26">
        <f t="shared" si="3"/>
        <v>0</v>
      </c>
      <c r="O15" s="36" t="str">
        <f t="shared" si="4"/>
        <v>50-75%</v>
      </c>
      <c r="P15" s="37" t="str">
        <f t="shared" si="4"/>
        <v xml:space="preserve"> &lt; 50%</v>
      </c>
      <c r="R15">
        <v>1</v>
      </c>
    </row>
    <row r="16" spans="1:18" ht="22.5" customHeight="1" x14ac:dyDescent="0.25">
      <c r="A16" s="8">
        <f>'Список детей'!A13</f>
        <v>12</v>
      </c>
      <c r="B16" s="23" t="str">
        <f>'Список детей'!B13</f>
        <v>Самордин Аким</v>
      </c>
      <c r="C16" s="8">
        <v>0</v>
      </c>
      <c r="D16" s="9"/>
      <c r="E16" s="8">
        <v>0</v>
      </c>
      <c r="F16" s="9"/>
      <c r="G16" s="8">
        <v>0</v>
      </c>
      <c r="H16" s="9"/>
      <c r="I16" s="8">
        <v>0</v>
      </c>
      <c r="J16" s="9"/>
      <c r="K16" s="18">
        <f t="shared" si="0"/>
        <v>0</v>
      </c>
      <c r="L16" s="41">
        <f t="shared" si="1"/>
        <v>0</v>
      </c>
      <c r="M16" s="14">
        <f t="shared" si="2"/>
        <v>0</v>
      </c>
      <c r="N16" s="26">
        <f t="shared" si="3"/>
        <v>0</v>
      </c>
      <c r="O16" s="36" t="str">
        <f t="shared" si="4"/>
        <v xml:space="preserve"> &lt; 50%</v>
      </c>
      <c r="P16" s="37" t="str">
        <f t="shared" si="4"/>
        <v xml:space="preserve"> &lt; 50%</v>
      </c>
      <c r="R16">
        <v>1</v>
      </c>
    </row>
    <row r="17" spans="1:18" ht="22.5" customHeight="1" x14ac:dyDescent="0.25">
      <c r="A17" s="8">
        <f>'Список детей'!A14</f>
        <v>13</v>
      </c>
      <c r="B17" s="23" t="str">
        <f>'Список детей'!B14</f>
        <v>Франк Гектор</v>
      </c>
      <c r="C17" s="8">
        <v>1</v>
      </c>
      <c r="D17" s="9"/>
      <c r="E17" s="8">
        <v>1</v>
      </c>
      <c r="F17" s="9"/>
      <c r="G17" s="8">
        <v>1</v>
      </c>
      <c r="H17" s="9"/>
      <c r="I17" s="8">
        <v>1</v>
      </c>
      <c r="J17" s="9"/>
      <c r="K17" s="18">
        <f t="shared" si="0"/>
        <v>1</v>
      </c>
      <c r="L17" s="41">
        <f t="shared" si="1"/>
        <v>0</v>
      </c>
      <c r="M17" s="14">
        <f t="shared" si="2"/>
        <v>0.33333333333333331</v>
      </c>
      <c r="N17" s="26">
        <f t="shared" si="3"/>
        <v>0</v>
      </c>
      <c r="O17" s="36" t="str">
        <f t="shared" si="4"/>
        <v xml:space="preserve"> &lt; 50%</v>
      </c>
      <c r="P17" s="37" t="str">
        <f t="shared" si="4"/>
        <v xml:space="preserve"> &lt; 50%</v>
      </c>
      <c r="R17">
        <v>1</v>
      </c>
    </row>
    <row r="18" spans="1:18" ht="22.5" customHeight="1" x14ac:dyDescent="0.25">
      <c r="A18" s="8">
        <f>'Список детей'!A15</f>
        <v>14</v>
      </c>
      <c r="B18" s="23" t="str">
        <f>'Список детей'!B15</f>
        <v>Швыдченко Кирилл</v>
      </c>
      <c r="C18" s="8">
        <v>0</v>
      </c>
      <c r="D18" s="9"/>
      <c r="E18" s="8">
        <v>0</v>
      </c>
      <c r="F18" s="9"/>
      <c r="G18" s="8">
        <v>0</v>
      </c>
      <c r="H18" s="9"/>
      <c r="I18" s="8">
        <v>2</v>
      </c>
      <c r="J18" s="9"/>
      <c r="K18" s="18">
        <f t="shared" si="0"/>
        <v>0.5</v>
      </c>
      <c r="L18" s="41">
        <f t="shared" si="1"/>
        <v>0</v>
      </c>
      <c r="M18" s="14">
        <f t="shared" si="2"/>
        <v>0.16666666666666666</v>
      </c>
      <c r="N18" s="26">
        <f t="shared" si="3"/>
        <v>0</v>
      </c>
      <c r="O18" s="36" t="str">
        <f t="shared" si="4"/>
        <v xml:space="preserve"> &lt; 50%</v>
      </c>
      <c r="P18" s="37" t="str">
        <f t="shared" si="4"/>
        <v xml:space="preserve"> &lt; 50%</v>
      </c>
      <c r="R18">
        <v>1</v>
      </c>
    </row>
    <row r="19" spans="1:18" ht="22.5" customHeight="1" x14ac:dyDescent="0.25">
      <c r="A19" s="8">
        <f>'Список детей'!A16</f>
        <v>15</v>
      </c>
      <c r="B19" s="23" t="str">
        <f>'Список детей'!B16</f>
        <v>Ребенок 15</v>
      </c>
      <c r="C19" s="8"/>
      <c r="D19" s="9"/>
      <c r="E19" s="8"/>
      <c r="F19" s="9"/>
      <c r="G19" s="8"/>
      <c r="H19" s="9"/>
      <c r="I19" s="8"/>
      <c r="J19" s="9"/>
      <c r="K19" s="18">
        <f t="shared" si="0"/>
        <v>0</v>
      </c>
      <c r="L19" s="41">
        <f t="shared" si="1"/>
        <v>0</v>
      </c>
      <c r="M19" s="14">
        <f t="shared" si="2"/>
        <v>0</v>
      </c>
      <c r="N19" s="26">
        <f t="shared" si="3"/>
        <v>0</v>
      </c>
      <c r="O19" s="36" t="str">
        <f t="shared" si="4"/>
        <v xml:space="preserve"> &lt; 50%</v>
      </c>
      <c r="P19" s="37" t="str">
        <f t="shared" si="4"/>
        <v xml:space="preserve"> &lt; 50%</v>
      </c>
      <c r="R19">
        <v>1</v>
      </c>
    </row>
    <row r="20" spans="1:18" ht="22.5" customHeight="1" x14ac:dyDescent="0.25">
      <c r="A20" s="8">
        <f>'Список детей'!A17</f>
        <v>16</v>
      </c>
      <c r="B20" s="23" t="str">
        <f>'Список детей'!B17</f>
        <v>Ребенок 16</v>
      </c>
      <c r="C20" s="8"/>
      <c r="D20" s="9"/>
      <c r="E20" s="8"/>
      <c r="F20" s="9"/>
      <c r="G20" s="8"/>
      <c r="H20" s="9"/>
      <c r="I20" s="8"/>
      <c r="J20" s="9"/>
      <c r="K20" s="18">
        <f t="shared" si="0"/>
        <v>0</v>
      </c>
      <c r="L20" s="41">
        <f t="shared" si="1"/>
        <v>0</v>
      </c>
      <c r="M20" s="14">
        <f t="shared" si="2"/>
        <v>0</v>
      </c>
      <c r="N20" s="26">
        <f t="shared" si="3"/>
        <v>0</v>
      </c>
      <c r="O20" s="36" t="str">
        <f t="shared" si="4"/>
        <v xml:space="preserve"> &lt; 50%</v>
      </c>
      <c r="P20" s="37" t="str">
        <f t="shared" si="4"/>
        <v xml:space="preserve"> &lt; 50%</v>
      </c>
      <c r="R20">
        <v>1</v>
      </c>
    </row>
    <row r="21" spans="1:18" ht="22.5" customHeight="1" x14ac:dyDescent="0.25">
      <c r="A21" s="8">
        <f>'Список детей'!A18</f>
        <v>17</v>
      </c>
      <c r="B21" s="23" t="str">
        <f>'Список детей'!B18</f>
        <v>Ребенок 17</v>
      </c>
      <c r="C21" s="8"/>
      <c r="D21" s="9"/>
      <c r="E21" s="8"/>
      <c r="F21" s="9"/>
      <c r="G21" s="8"/>
      <c r="H21" s="9"/>
      <c r="I21" s="8"/>
      <c r="J21" s="9"/>
      <c r="K21" s="18">
        <f t="shared" ref="K21:K24" si="5">(C21+E21+G21+I21)/4</f>
        <v>0</v>
      </c>
      <c r="L21" s="41">
        <f t="shared" ref="L21:L24" si="6">(D21+F21+H21+J21)/4</f>
        <v>0</v>
      </c>
      <c r="M21" s="14">
        <f t="shared" ref="M21:M24" si="7">K21/3</f>
        <v>0</v>
      </c>
      <c r="N21" s="26">
        <f t="shared" ref="N21:N24" si="8">L21/3</f>
        <v>0</v>
      </c>
      <c r="O21" s="36" t="str">
        <f t="shared" ref="O21:O24" si="9">IF(K21&lt;=1," &lt; 50%",IF(K21&lt;2.25,"50-75%","75-100%"))</f>
        <v xml:space="preserve"> &lt; 50%</v>
      </c>
      <c r="P21" s="37" t="str">
        <f t="shared" ref="P21:P24" si="10">IF(L21&lt;=1," &lt; 50%",IF(L21&lt;2.25,"50-75%","75-100%"))</f>
        <v xml:space="preserve"> &lt; 50%</v>
      </c>
      <c r="R21">
        <v>1</v>
      </c>
    </row>
    <row r="22" spans="1:18" ht="22.5" customHeight="1" x14ac:dyDescent="0.25">
      <c r="A22" s="8">
        <f>'Список детей'!A19</f>
        <v>18</v>
      </c>
      <c r="B22" s="23" t="str">
        <f>'Список детей'!B19</f>
        <v>Ребенок 18</v>
      </c>
      <c r="C22" s="8"/>
      <c r="D22" s="9"/>
      <c r="E22" s="8"/>
      <c r="F22" s="9"/>
      <c r="G22" s="8"/>
      <c r="H22" s="9"/>
      <c r="I22" s="8"/>
      <c r="J22" s="9"/>
      <c r="K22" s="18">
        <f t="shared" si="5"/>
        <v>0</v>
      </c>
      <c r="L22" s="41">
        <f t="shared" si="6"/>
        <v>0</v>
      </c>
      <c r="M22" s="14">
        <f t="shared" si="7"/>
        <v>0</v>
      </c>
      <c r="N22" s="26">
        <f t="shared" si="8"/>
        <v>0</v>
      </c>
      <c r="O22" s="36" t="str">
        <f t="shared" si="9"/>
        <v xml:space="preserve"> &lt; 50%</v>
      </c>
      <c r="P22" s="37" t="str">
        <f t="shared" si="10"/>
        <v xml:space="preserve"> &lt; 50%</v>
      </c>
      <c r="R22">
        <v>1</v>
      </c>
    </row>
    <row r="23" spans="1:18" ht="22.5" customHeight="1" x14ac:dyDescent="0.25">
      <c r="A23" s="8">
        <f>'Список детей'!A20</f>
        <v>19</v>
      </c>
      <c r="B23" s="23" t="str">
        <f>'Список детей'!B20</f>
        <v>Ребенок 19</v>
      </c>
      <c r="C23" s="8"/>
      <c r="D23" s="9"/>
      <c r="E23" s="8"/>
      <c r="F23" s="9"/>
      <c r="G23" s="8"/>
      <c r="H23" s="9"/>
      <c r="I23" s="8"/>
      <c r="J23" s="9"/>
      <c r="K23" s="18">
        <f t="shared" si="5"/>
        <v>0</v>
      </c>
      <c r="L23" s="41">
        <f t="shared" si="6"/>
        <v>0</v>
      </c>
      <c r="M23" s="14">
        <f t="shared" si="7"/>
        <v>0</v>
      </c>
      <c r="N23" s="26">
        <f t="shared" si="8"/>
        <v>0</v>
      </c>
      <c r="O23" s="36" t="str">
        <f t="shared" si="9"/>
        <v xml:space="preserve"> &lt; 50%</v>
      </c>
      <c r="P23" s="37" t="str">
        <f t="shared" si="10"/>
        <v xml:space="preserve"> &lt; 50%</v>
      </c>
      <c r="R23">
        <v>1</v>
      </c>
    </row>
    <row r="24" spans="1:18" ht="22.5" customHeight="1" x14ac:dyDescent="0.25">
      <c r="A24" s="8">
        <f>'Список детей'!A21</f>
        <v>20</v>
      </c>
      <c r="B24" s="23" t="str">
        <f>'Список детей'!B21</f>
        <v>Ребенок 20</v>
      </c>
      <c r="C24" s="8"/>
      <c r="D24" s="9"/>
      <c r="E24" s="8"/>
      <c r="F24" s="9"/>
      <c r="G24" s="8"/>
      <c r="H24" s="9"/>
      <c r="I24" s="8"/>
      <c r="J24" s="9"/>
      <c r="K24" s="18">
        <f t="shared" si="5"/>
        <v>0</v>
      </c>
      <c r="L24" s="41">
        <f t="shared" si="6"/>
        <v>0</v>
      </c>
      <c r="M24" s="14">
        <f t="shared" si="7"/>
        <v>0</v>
      </c>
      <c r="N24" s="26">
        <f t="shared" si="8"/>
        <v>0</v>
      </c>
      <c r="O24" s="36" t="str">
        <f t="shared" si="9"/>
        <v xml:space="preserve"> &lt; 50%</v>
      </c>
      <c r="P24" s="37" t="str">
        <f t="shared" si="10"/>
        <v xml:space="preserve"> &lt; 50%</v>
      </c>
      <c r="R24">
        <v>1</v>
      </c>
    </row>
    <row r="25" spans="1:18" ht="22.5" customHeight="1" x14ac:dyDescent="0.25">
      <c r="A25" s="8">
        <f>'Список детей'!A22</f>
        <v>21</v>
      </c>
      <c r="B25" s="23" t="str">
        <f>'Список детей'!B22</f>
        <v>-</v>
      </c>
      <c r="C25" s="8"/>
      <c r="D25" s="9"/>
      <c r="E25" s="8"/>
      <c r="F25" s="9"/>
      <c r="G25" s="8"/>
      <c r="H25" s="9"/>
      <c r="I25" s="8"/>
      <c r="J25" s="9"/>
      <c r="K25" s="18"/>
      <c r="L25" s="41"/>
      <c r="M25" s="14"/>
      <c r="N25" s="26"/>
      <c r="O25" s="36"/>
      <c r="P25" s="37"/>
    </row>
    <row r="26" spans="1:18" ht="22.5" customHeight="1" x14ac:dyDescent="0.25">
      <c r="A26" s="8">
        <f>'Список детей'!A23</f>
        <v>22</v>
      </c>
      <c r="B26" s="23" t="str">
        <f>'Список детей'!B23</f>
        <v>-</v>
      </c>
      <c r="C26" s="8"/>
      <c r="D26" s="9"/>
      <c r="E26" s="8"/>
      <c r="F26" s="9"/>
      <c r="G26" s="8"/>
      <c r="H26" s="9"/>
      <c r="I26" s="8"/>
      <c r="J26" s="9"/>
      <c r="K26" s="18"/>
      <c r="L26" s="41"/>
      <c r="M26" s="14"/>
      <c r="N26" s="26"/>
      <c r="O26" s="29"/>
      <c r="P26" s="37"/>
    </row>
    <row r="27" spans="1:18" ht="22.5" customHeight="1" x14ac:dyDescent="0.25">
      <c r="A27" s="8">
        <f>'Список детей'!A24</f>
        <v>23</v>
      </c>
      <c r="B27" s="23" t="str">
        <f>'Список детей'!B24</f>
        <v>-</v>
      </c>
      <c r="C27" s="8"/>
      <c r="D27" s="9"/>
      <c r="E27" s="8"/>
      <c r="F27" s="9"/>
      <c r="G27" s="8"/>
      <c r="H27" s="9"/>
      <c r="I27" s="8"/>
      <c r="J27" s="9"/>
      <c r="K27" s="18"/>
      <c r="L27" s="41"/>
      <c r="M27" s="14"/>
      <c r="N27" s="26"/>
      <c r="O27" s="29"/>
      <c r="P27" s="37"/>
    </row>
    <row r="28" spans="1:18" ht="22.5" customHeight="1" x14ac:dyDescent="0.25">
      <c r="A28" s="8"/>
      <c r="B28" s="12"/>
      <c r="C28" s="8"/>
      <c r="D28" s="9"/>
      <c r="E28" s="8"/>
      <c r="F28" s="9"/>
      <c r="G28" s="8"/>
      <c r="H28" s="9"/>
      <c r="I28" s="8"/>
      <c r="J28" s="9"/>
      <c r="K28" s="18"/>
      <c r="L28" s="41"/>
      <c r="M28" s="14"/>
      <c r="N28" s="26"/>
      <c r="O28" s="29"/>
      <c r="P28" s="30"/>
    </row>
    <row r="29" spans="1:18" ht="22.5" customHeight="1" x14ac:dyDescent="0.25">
      <c r="A29" s="8"/>
      <c r="B29" s="12"/>
      <c r="C29" s="8"/>
      <c r="D29" s="9"/>
      <c r="E29" s="8"/>
      <c r="F29" s="9"/>
      <c r="G29" s="8"/>
      <c r="H29" s="9"/>
      <c r="I29" s="8"/>
      <c r="J29" s="9"/>
      <c r="K29" s="18"/>
      <c r="L29" s="41"/>
      <c r="M29" s="14"/>
      <c r="N29" s="26"/>
      <c r="O29" s="29"/>
      <c r="P29" s="30"/>
    </row>
    <row r="30" spans="1:18" s="1" customFormat="1" ht="33.75" customHeight="1" x14ac:dyDescent="0.25">
      <c r="A30" s="45" t="s">
        <v>6</v>
      </c>
      <c r="B30" s="45"/>
      <c r="C30" s="18">
        <f t="shared" ref="C30:J30" si="11">AVERAGE(C5:C29)</f>
        <v>1.2307692307692308</v>
      </c>
      <c r="D30" s="41" t="e">
        <f t="shared" si="11"/>
        <v>#DIV/0!</v>
      </c>
      <c r="E30" s="18">
        <f t="shared" si="11"/>
        <v>1</v>
      </c>
      <c r="F30" s="41" t="e">
        <f t="shared" si="11"/>
        <v>#DIV/0!</v>
      </c>
      <c r="G30" s="18">
        <f t="shared" si="11"/>
        <v>1.1538461538461537</v>
      </c>
      <c r="H30" s="41" t="e">
        <f t="shared" si="11"/>
        <v>#DIV/0!</v>
      </c>
      <c r="I30" s="18">
        <f t="shared" si="11"/>
        <v>1.3846153846153846</v>
      </c>
      <c r="J30" s="41" t="e">
        <f t="shared" si="11"/>
        <v>#DIV/0!</v>
      </c>
      <c r="K30" s="18">
        <f>(C30+E30+G30+I30)/4</f>
        <v>1.1923076923076923</v>
      </c>
      <c r="L30" s="41" t="e">
        <f>(D30+F30+H30+J30)/4</f>
        <v>#DIV/0!</v>
      </c>
      <c r="M30" s="29">
        <f>SUM(M5:M25)/'Список детей'!$C$34</f>
        <v>0.36904761904761907</v>
      </c>
      <c r="N30" s="30">
        <f>SUM(N5:N25)/'Список детей'!$C$34</f>
        <v>0</v>
      </c>
      <c r="O30" s="27"/>
      <c r="P30" s="28"/>
    </row>
    <row r="31" spans="1:1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32"/>
      <c r="O32" s="6" t="s">
        <v>24</v>
      </c>
      <c r="P32" s="6" t="s">
        <v>23</v>
      </c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33" t="s">
        <v>16</v>
      </c>
      <c r="O33" s="6">
        <f>SUMIF(O5:O29," &lt; 50%",R5:R29)</f>
        <v>14</v>
      </c>
      <c r="P33" s="6">
        <f>SUMIF(P5:P29," &lt; 50%",R5:R29)</f>
        <v>20</v>
      </c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33" t="s">
        <v>17</v>
      </c>
      <c r="O34" s="6">
        <f>SUMIF(O5:O29,"50-75%",R5:R29)</f>
        <v>4</v>
      </c>
      <c r="P34" s="6">
        <f>SUMIF(P5:P29,"50-75%",R5:R29)</f>
        <v>0</v>
      </c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33" t="s">
        <v>19</v>
      </c>
      <c r="O35" s="6">
        <f>SUMIF(O5:O29,"75-100%",R5:R29)</f>
        <v>2</v>
      </c>
      <c r="P35" s="6">
        <f>SUMIF(P5:P29,"75-100%",R5:R29)</f>
        <v>0</v>
      </c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32"/>
      <c r="O36" s="6"/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33"/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33"/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33"/>
    </row>
  </sheetData>
  <mergeCells count="10">
    <mergeCell ref="O3:P3"/>
    <mergeCell ref="I3:J3"/>
    <mergeCell ref="K3:L3"/>
    <mergeCell ref="M3:N3"/>
    <mergeCell ref="A30:B30"/>
    <mergeCell ref="A3:A4"/>
    <mergeCell ref="B3:B4"/>
    <mergeCell ref="C3:D3"/>
    <mergeCell ref="E3:F3"/>
    <mergeCell ref="G3:H3"/>
  </mergeCells>
  <pageMargins left="0.70866141732283472" right="0.70866141732283472" top="0.74803149606299213" bottom="0.74803149606299213" header="0.51181102362204722" footer="0.51181102362204722"/>
  <pageSetup paperSize="9" scale="56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40"/>
  <sheetViews>
    <sheetView zoomScale="70" zoomScaleNormal="70" workbookViewId="0">
      <selection activeCell="B2" sqref="B2"/>
    </sheetView>
  </sheetViews>
  <sheetFormatPr defaultRowHeight="15" x14ac:dyDescent="0.25"/>
  <cols>
    <col min="1" max="1" width="4" customWidth="1"/>
    <col min="2" max="2" width="27.42578125" customWidth="1"/>
    <col min="3" max="3" width="8.7109375" customWidth="1"/>
    <col min="4" max="4" width="10" customWidth="1"/>
    <col min="5" max="5" width="8.7109375" customWidth="1"/>
    <col min="6" max="6" width="9.7109375" customWidth="1"/>
    <col min="7" max="11" width="8.7109375" customWidth="1"/>
    <col min="12" max="12" width="9.140625" customWidth="1"/>
    <col min="13" max="20" width="8.7109375" customWidth="1"/>
    <col min="21" max="22" width="9.140625" style="1" customWidth="1"/>
    <col min="23" max="24" width="8.7109375" customWidth="1"/>
    <col min="25" max="25" width="9.42578125" bestFit="1" customWidth="1"/>
    <col min="26" max="26" width="10.5703125" bestFit="1" customWidth="1"/>
    <col min="27" max="1029" width="8.7109375" customWidth="1"/>
  </cols>
  <sheetData>
    <row r="1" spans="1:28" x14ac:dyDescent="0.25">
      <c r="A1" s="6"/>
      <c r="B1" s="17" t="s">
        <v>12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7"/>
      <c r="W1" s="6"/>
      <c r="X1" s="6"/>
    </row>
    <row r="2" spans="1:28" x14ac:dyDescent="0.25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6"/>
      <c r="X2" s="6"/>
    </row>
    <row r="3" spans="1:28" ht="168.75" customHeight="1" x14ac:dyDescent="0.25">
      <c r="A3" s="47" t="s">
        <v>1</v>
      </c>
      <c r="B3" s="48" t="s">
        <v>2</v>
      </c>
      <c r="C3" s="55" t="s">
        <v>32</v>
      </c>
      <c r="D3" s="55"/>
      <c r="E3" s="55" t="s">
        <v>34</v>
      </c>
      <c r="F3" s="55"/>
      <c r="G3" s="55" t="s">
        <v>35</v>
      </c>
      <c r="H3" s="55"/>
      <c r="I3" s="55" t="s">
        <v>42</v>
      </c>
      <c r="J3" s="55"/>
      <c r="K3" s="55" t="s">
        <v>33</v>
      </c>
      <c r="L3" s="55"/>
      <c r="M3" s="55" t="s">
        <v>82</v>
      </c>
      <c r="N3" s="55"/>
      <c r="O3" s="56" t="s">
        <v>83</v>
      </c>
      <c r="P3" s="57"/>
      <c r="Q3" s="56" t="s">
        <v>43</v>
      </c>
      <c r="R3" s="57"/>
      <c r="S3" s="55" t="s">
        <v>81</v>
      </c>
      <c r="T3" s="55"/>
      <c r="U3" s="45" t="s">
        <v>3</v>
      </c>
      <c r="V3" s="45"/>
      <c r="W3" s="45" t="s">
        <v>9</v>
      </c>
      <c r="X3" s="45"/>
      <c r="Y3" s="45" t="s">
        <v>18</v>
      </c>
      <c r="Z3" s="45"/>
    </row>
    <row r="4" spans="1:28" ht="15" customHeight="1" x14ac:dyDescent="0.25">
      <c r="A4" s="47"/>
      <c r="B4" s="48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8"/>
      <c r="P4" s="59"/>
      <c r="Q4" s="58"/>
      <c r="R4" s="59"/>
      <c r="S4" s="55"/>
      <c r="T4" s="55"/>
      <c r="U4" s="45"/>
      <c r="V4" s="45"/>
      <c r="W4" s="45"/>
      <c r="X4" s="45"/>
      <c r="Y4" s="45"/>
      <c r="Z4" s="45"/>
    </row>
    <row r="5" spans="1:28" ht="15" customHeight="1" x14ac:dyDescent="0.25">
      <c r="A5" s="47"/>
      <c r="B5" s="48"/>
      <c r="C5" s="8"/>
      <c r="D5" s="9" t="s">
        <v>5</v>
      </c>
      <c r="E5" s="8" t="s">
        <v>10</v>
      </c>
      <c r="F5" s="9" t="s">
        <v>5</v>
      </c>
      <c r="G5" s="8" t="s">
        <v>10</v>
      </c>
      <c r="H5" s="9" t="s">
        <v>5</v>
      </c>
      <c r="I5" s="8" t="s">
        <v>10</v>
      </c>
      <c r="J5" s="9" t="s">
        <v>5</v>
      </c>
      <c r="K5" s="8" t="s">
        <v>10</v>
      </c>
      <c r="L5" s="9" t="s">
        <v>5</v>
      </c>
      <c r="M5" s="8" t="s">
        <v>10</v>
      </c>
      <c r="N5" s="9" t="s">
        <v>5</v>
      </c>
      <c r="O5" s="8" t="s">
        <v>10</v>
      </c>
      <c r="P5" s="9" t="s">
        <v>5</v>
      </c>
      <c r="Q5" s="8" t="s">
        <v>10</v>
      </c>
      <c r="R5" s="9" t="s">
        <v>5</v>
      </c>
      <c r="S5" s="8" t="s">
        <v>10</v>
      </c>
      <c r="T5" s="9" t="s">
        <v>5</v>
      </c>
      <c r="U5" s="10" t="s">
        <v>10</v>
      </c>
      <c r="V5" s="25" t="s">
        <v>5</v>
      </c>
      <c r="W5" s="10" t="s">
        <v>10</v>
      </c>
      <c r="X5" s="25" t="s">
        <v>5</v>
      </c>
      <c r="Y5" s="27" t="s">
        <v>20</v>
      </c>
      <c r="Z5" s="28" t="s">
        <v>5</v>
      </c>
    </row>
    <row r="6" spans="1:28" ht="22.5" customHeight="1" x14ac:dyDescent="0.25">
      <c r="A6" s="8">
        <f>'Список детей'!A2</f>
        <v>1</v>
      </c>
      <c r="B6" s="24" t="str">
        <f>'Список детей'!B2</f>
        <v>Бобрышев Мрон</v>
      </c>
      <c r="C6" s="8">
        <v>1</v>
      </c>
      <c r="D6" s="9"/>
      <c r="E6" s="8">
        <v>1</v>
      </c>
      <c r="F6" s="9"/>
      <c r="G6" s="8">
        <v>1</v>
      </c>
      <c r="H6" s="9"/>
      <c r="I6" s="8">
        <v>1</v>
      </c>
      <c r="J6" s="9"/>
      <c r="K6" s="8">
        <v>2</v>
      </c>
      <c r="L6" s="9"/>
      <c r="M6" s="8">
        <v>2</v>
      </c>
      <c r="N6" s="9"/>
      <c r="O6" s="8">
        <v>2</v>
      </c>
      <c r="P6" s="9"/>
      <c r="Q6" s="8">
        <v>2</v>
      </c>
      <c r="R6" s="9"/>
      <c r="S6" s="8">
        <v>2</v>
      </c>
      <c r="T6" s="9"/>
      <c r="U6" s="18">
        <f>(C6+E6+G6+I6+K6+M6+O6+Q6+S6)/9</f>
        <v>1.5555555555555556</v>
      </c>
      <c r="V6" s="41">
        <f>(D6+F6+H6+J6+L6+N6+P6+R6+T6)/9</f>
        <v>0</v>
      </c>
      <c r="W6" s="14">
        <f t="shared" ref="W6" si="0">U6/3</f>
        <v>0.51851851851851849</v>
      </c>
      <c r="X6" s="26">
        <f t="shared" ref="X6" si="1">V6/3</f>
        <v>0</v>
      </c>
      <c r="Y6" s="36" t="str">
        <f>IF(U6&lt;=1," &lt; 50%",IF(U6&lt;2.25,"50-75%","75-100%"))</f>
        <v>50-75%</v>
      </c>
      <c r="Z6" s="37" t="str">
        <f>IF(V6&lt;=1," &lt; 50%",IF(V6&lt;2.25,"50-75%","75-100%"))</f>
        <v xml:space="preserve"> &lt; 50%</v>
      </c>
      <c r="AB6">
        <v>1</v>
      </c>
    </row>
    <row r="7" spans="1:28" ht="22.5" customHeight="1" x14ac:dyDescent="0.25">
      <c r="A7" s="8">
        <f>'Список детей'!A3</f>
        <v>2</v>
      </c>
      <c r="B7" s="24" t="str">
        <f>'Список детей'!B3</f>
        <v>Буяновская Варвара</v>
      </c>
      <c r="C7" s="8">
        <v>2</v>
      </c>
      <c r="D7" s="9"/>
      <c r="E7" s="8">
        <v>1</v>
      </c>
      <c r="F7" s="9"/>
      <c r="G7" s="8">
        <v>1</v>
      </c>
      <c r="H7" s="9"/>
      <c r="I7" s="8">
        <v>1</v>
      </c>
      <c r="J7" s="9"/>
      <c r="K7" s="8">
        <v>2</v>
      </c>
      <c r="L7" s="9"/>
      <c r="M7" s="8">
        <v>2</v>
      </c>
      <c r="N7" s="9"/>
      <c r="O7" s="8">
        <v>2</v>
      </c>
      <c r="P7" s="9"/>
      <c r="Q7" s="8">
        <v>1</v>
      </c>
      <c r="R7" s="9"/>
      <c r="S7" s="8">
        <v>2</v>
      </c>
      <c r="T7" s="9"/>
      <c r="U7" s="18">
        <f t="shared" ref="U7:U21" si="2">(C7+E7+G7+I7+K7+M7+O7+Q7+S7)/9</f>
        <v>1.5555555555555556</v>
      </c>
      <c r="V7" s="41">
        <f t="shared" ref="V7:V21" si="3">(D7+F7+H7+J7+L7+N7+P7+R7+T7)/9</f>
        <v>0</v>
      </c>
      <c r="W7" s="14">
        <f t="shared" ref="W7:W21" si="4">U7/3</f>
        <v>0.51851851851851849</v>
      </c>
      <c r="X7" s="26">
        <f t="shared" ref="X7:X21" si="5">V7/3</f>
        <v>0</v>
      </c>
      <c r="Y7" s="36" t="str">
        <f t="shared" ref="Y7:Y21" si="6">IF(U7&lt;=1," &lt; 50%",IF(U7&lt;2.25,"50-75%","75-100%"))</f>
        <v>50-75%</v>
      </c>
      <c r="Z7" s="37" t="str">
        <f t="shared" ref="Z7:Z21" si="7">IF(V7&lt;=1," &lt; 50%",IF(V7&lt;2.25,"50-75%","75-100%"))</f>
        <v xml:space="preserve"> &lt; 50%</v>
      </c>
      <c r="AB7">
        <v>1</v>
      </c>
    </row>
    <row r="8" spans="1:28" ht="22.5" customHeight="1" x14ac:dyDescent="0.25">
      <c r="A8" s="8">
        <f>'Список детей'!A4</f>
        <v>3</v>
      </c>
      <c r="B8" s="24" t="str">
        <f>'Список детей'!B4</f>
        <v>Визиров Саша</v>
      </c>
      <c r="C8" s="8">
        <v>2</v>
      </c>
      <c r="D8" s="9"/>
      <c r="E8" s="8">
        <v>2</v>
      </c>
      <c r="F8" s="9"/>
      <c r="G8" s="8">
        <v>2</v>
      </c>
      <c r="H8" s="9"/>
      <c r="I8" s="8">
        <v>1</v>
      </c>
      <c r="J8" s="9"/>
      <c r="K8" s="8">
        <v>2</v>
      </c>
      <c r="L8" s="9"/>
      <c r="M8" s="8">
        <v>2</v>
      </c>
      <c r="N8" s="9"/>
      <c r="O8" s="8">
        <v>2</v>
      </c>
      <c r="P8" s="9"/>
      <c r="Q8" s="8">
        <v>2</v>
      </c>
      <c r="R8" s="9"/>
      <c r="S8" s="8">
        <v>2</v>
      </c>
      <c r="T8" s="9"/>
      <c r="U8" s="18">
        <f t="shared" si="2"/>
        <v>1.8888888888888888</v>
      </c>
      <c r="V8" s="41">
        <f t="shared" si="3"/>
        <v>0</v>
      </c>
      <c r="W8" s="14">
        <f t="shared" si="4"/>
        <v>0.62962962962962965</v>
      </c>
      <c r="X8" s="26">
        <f t="shared" si="5"/>
        <v>0</v>
      </c>
      <c r="Y8" s="36" t="str">
        <f t="shared" si="6"/>
        <v>50-75%</v>
      </c>
      <c r="Z8" s="37" t="str">
        <f t="shared" si="7"/>
        <v xml:space="preserve"> &lt; 50%</v>
      </c>
      <c r="AB8">
        <v>1</v>
      </c>
    </row>
    <row r="9" spans="1:28" ht="22.5" customHeight="1" x14ac:dyDescent="0.25">
      <c r="A9" s="8">
        <f>'Список детей'!A5</f>
        <v>4</v>
      </c>
      <c r="B9" s="24" t="str">
        <f>'Список детей'!B5</f>
        <v>Волкова Аня</v>
      </c>
      <c r="C9" s="8">
        <v>1</v>
      </c>
      <c r="D9" s="9"/>
      <c r="E9" s="8">
        <v>1</v>
      </c>
      <c r="F9" s="9"/>
      <c r="G9" s="8">
        <v>2</v>
      </c>
      <c r="H9" s="9"/>
      <c r="I9" s="8">
        <v>1</v>
      </c>
      <c r="J9" s="9"/>
      <c r="K9" s="8">
        <v>2</v>
      </c>
      <c r="L9" s="9"/>
      <c r="M9" s="8">
        <v>2</v>
      </c>
      <c r="N9" s="9"/>
      <c r="O9" s="8">
        <v>2</v>
      </c>
      <c r="P9" s="9"/>
      <c r="Q9" s="8">
        <v>2</v>
      </c>
      <c r="R9" s="9"/>
      <c r="S9" s="8">
        <v>2</v>
      </c>
      <c r="T9" s="9"/>
      <c r="U9" s="18">
        <f t="shared" si="2"/>
        <v>1.6666666666666667</v>
      </c>
      <c r="V9" s="41">
        <f t="shared" si="3"/>
        <v>0</v>
      </c>
      <c r="W9" s="14">
        <f t="shared" si="4"/>
        <v>0.55555555555555558</v>
      </c>
      <c r="X9" s="26">
        <f t="shared" si="5"/>
        <v>0</v>
      </c>
      <c r="Y9" s="36" t="str">
        <f t="shared" si="6"/>
        <v>50-75%</v>
      </c>
      <c r="Z9" s="37" t="str">
        <f t="shared" si="7"/>
        <v xml:space="preserve"> &lt; 50%</v>
      </c>
      <c r="AB9">
        <v>1</v>
      </c>
    </row>
    <row r="10" spans="1:28" ht="22.5" customHeight="1" x14ac:dyDescent="0.25">
      <c r="A10" s="8">
        <f>'Список детей'!A6</f>
        <v>5</v>
      </c>
      <c r="B10" s="24" t="str">
        <f>'Список детей'!B6</f>
        <v>Волков Даня</v>
      </c>
      <c r="C10" s="8">
        <v>2</v>
      </c>
      <c r="D10" s="9"/>
      <c r="E10" s="8">
        <v>2</v>
      </c>
      <c r="F10" s="9"/>
      <c r="G10" s="8">
        <v>2</v>
      </c>
      <c r="H10" s="9"/>
      <c r="I10" s="8">
        <v>1</v>
      </c>
      <c r="J10" s="9"/>
      <c r="K10" s="8">
        <v>2</v>
      </c>
      <c r="L10" s="9"/>
      <c r="M10" s="8">
        <v>2</v>
      </c>
      <c r="N10" s="9"/>
      <c r="O10" s="8">
        <v>3</v>
      </c>
      <c r="P10" s="9"/>
      <c r="Q10" s="8">
        <v>2</v>
      </c>
      <c r="R10" s="9"/>
      <c r="S10" s="8">
        <v>2</v>
      </c>
      <c r="T10" s="9"/>
      <c r="U10" s="18">
        <f t="shared" si="2"/>
        <v>2</v>
      </c>
      <c r="V10" s="41">
        <f t="shared" si="3"/>
        <v>0</v>
      </c>
      <c r="W10" s="14">
        <f t="shared" si="4"/>
        <v>0.66666666666666663</v>
      </c>
      <c r="X10" s="26">
        <f t="shared" si="5"/>
        <v>0</v>
      </c>
      <c r="Y10" s="36" t="str">
        <f t="shared" si="6"/>
        <v>50-75%</v>
      </c>
      <c r="Z10" s="37" t="str">
        <f t="shared" si="7"/>
        <v xml:space="preserve"> &lt; 50%</v>
      </c>
      <c r="AB10">
        <v>1</v>
      </c>
    </row>
    <row r="11" spans="1:28" ht="22.5" customHeight="1" x14ac:dyDescent="0.25">
      <c r="A11" s="8">
        <f>'Список детей'!A7</f>
        <v>6</v>
      </c>
      <c r="B11" s="24" t="str">
        <f>'Список детей'!B7</f>
        <v>Григорьева Эмилия</v>
      </c>
      <c r="C11" s="8"/>
      <c r="D11" s="9"/>
      <c r="E11" s="8"/>
      <c r="F11" s="9"/>
      <c r="G11" s="8"/>
      <c r="H11" s="9"/>
      <c r="I11" s="8"/>
      <c r="J11" s="9"/>
      <c r="K11" s="8"/>
      <c r="L11" s="9"/>
      <c r="M11" s="8"/>
      <c r="N11" s="9"/>
      <c r="O11" s="8"/>
      <c r="P11" s="9"/>
      <c r="Q11" s="8"/>
      <c r="R11" s="9"/>
      <c r="S11" s="8"/>
      <c r="T11" s="9"/>
      <c r="U11" s="18">
        <f t="shared" si="2"/>
        <v>0</v>
      </c>
      <c r="V11" s="41">
        <f t="shared" si="3"/>
        <v>0</v>
      </c>
      <c r="W11" s="14">
        <f t="shared" si="4"/>
        <v>0</v>
      </c>
      <c r="X11" s="26">
        <f t="shared" si="5"/>
        <v>0</v>
      </c>
      <c r="Y11" s="36" t="str">
        <f t="shared" si="6"/>
        <v xml:space="preserve"> &lt; 50%</v>
      </c>
      <c r="Z11" s="37" t="str">
        <f t="shared" si="7"/>
        <v xml:space="preserve"> &lt; 50%</v>
      </c>
      <c r="AB11">
        <v>1</v>
      </c>
    </row>
    <row r="12" spans="1:28" ht="22.5" customHeight="1" x14ac:dyDescent="0.25">
      <c r="A12" s="8">
        <f>'Список детей'!A8</f>
        <v>7</v>
      </c>
      <c r="B12" s="24" t="str">
        <f>'Список детей'!B8</f>
        <v>Головастов Вова</v>
      </c>
      <c r="C12" s="8">
        <v>1</v>
      </c>
      <c r="D12" s="9"/>
      <c r="E12" s="8">
        <v>1</v>
      </c>
      <c r="F12" s="9"/>
      <c r="G12" s="8">
        <v>1</v>
      </c>
      <c r="H12" s="9"/>
      <c r="I12" s="8">
        <v>1</v>
      </c>
      <c r="J12" s="9"/>
      <c r="K12" s="8">
        <v>2</v>
      </c>
      <c r="L12" s="9"/>
      <c r="M12" s="8">
        <v>2</v>
      </c>
      <c r="N12" s="9"/>
      <c r="O12" s="8">
        <v>1</v>
      </c>
      <c r="P12" s="9"/>
      <c r="Q12" s="8">
        <v>0</v>
      </c>
      <c r="R12" s="9"/>
      <c r="S12" s="8">
        <v>2</v>
      </c>
      <c r="T12" s="9"/>
      <c r="U12" s="18">
        <f t="shared" si="2"/>
        <v>1.2222222222222223</v>
      </c>
      <c r="V12" s="41">
        <f t="shared" si="3"/>
        <v>0</v>
      </c>
      <c r="W12" s="14">
        <f t="shared" si="4"/>
        <v>0.40740740740740744</v>
      </c>
      <c r="X12" s="26">
        <f t="shared" si="5"/>
        <v>0</v>
      </c>
      <c r="Y12" s="36" t="str">
        <f t="shared" si="6"/>
        <v>50-75%</v>
      </c>
      <c r="Z12" s="37" t="str">
        <f t="shared" si="7"/>
        <v xml:space="preserve"> &lt; 50%</v>
      </c>
      <c r="AB12">
        <v>1</v>
      </c>
    </row>
    <row r="13" spans="1:28" ht="22.5" customHeight="1" x14ac:dyDescent="0.25">
      <c r="A13" s="8">
        <f>'Список детей'!A9</f>
        <v>8</v>
      </c>
      <c r="B13" s="24" t="str">
        <f>'Список детей'!B9</f>
        <v>Ковалев Богдан</v>
      </c>
      <c r="C13" s="8">
        <v>0</v>
      </c>
      <c r="D13" s="9"/>
      <c r="E13" s="8">
        <v>1</v>
      </c>
      <c r="F13" s="9"/>
      <c r="G13" s="8">
        <v>0</v>
      </c>
      <c r="H13" s="9"/>
      <c r="I13" s="8">
        <v>1</v>
      </c>
      <c r="J13" s="9"/>
      <c r="K13" s="8">
        <v>0</v>
      </c>
      <c r="L13" s="9"/>
      <c r="M13" s="8">
        <v>1</v>
      </c>
      <c r="N13" s="9"/>
      <c r="O13" s="8">
        <v>1</v>
      </c>
      <c r="P13" s="9"/>
      <c r="Q13" s="8">
        <v>0</v>
      </c>
      <c r="R13" s="9"/>
      <c r="S13" s="8">
        <v>1</v>
      </c>
      <c r="T13" s="9"/>
      <c r="U13" s="18">
        <f t="shared" si="2"/>
        <v>0.55555555555555558</v>
      </c>
      <c r="V13" s="41">
        <f t="shared" si="3"/>
        <v>0</v>
      </c>
      <c r="W13" s="14">
        <f t="shared" si="4"/>
        <v>0.1851851851851852</v>
      </c>
      <c r="X13" s="26">
        <f t="shared" si="5"/>
        <v>0</v>
      </c>
      <c r="Y13" s="36" t="str">
        <f t="shared" si="6"/>
        <v xml:space="preserve"> &lt; 50%</v>
      </c>
      <c r="Z13" s="37" t="str">
        <f t="shared" si="7"/>
        <v xml:space="preserve"> &lt; 50%</v>
      </c>
      <c r="AB13">
        <v>1</v>
      </c>
    </row>
    <row r="14" spans="1:28" ht="22.5" customHeight="1" x14ac:dyDescent="0.25">
      <c r="A14" s="8">
        <f>'Список детей'!A10</f>
        <v>9</v>
      </c>
      <c r="B14" s="24" t="str">
        <f>'Список детей'!B10</f>
        <v>Назаренко Максим</v>
      </c>
      <c r="C14" s="8">
        <v>1</v>
      </c>
      <c r="D14" s="9"/>
      <c r="E14" s="8">
        <v>2</v>
      </c>
      <c r="F14" s="9"/>
      <c r="G14" s="8">
        <v>1</v>
      </c>
      <c r="H14" s="9"/>
      <c r="I14" s="8">
        <v>1</v>
      </c>
      <c r="J14" s="9"/>
      <c r="K14" s="8">
        <v>2</v>
      </c>
      <c r="L14" s="9"/>
      <c r="M14" s="8">
        <v>2</v>
      </c>
      <c r="N14" s="9"/>
      <c r="O14" s="8">
        <v>1</v>
      </c>
      <c r="P14" s="9"/>
      <c r="Q14" s="8">
        <v>1</v>
      </c>
      <c r="R14" s="9"/>
      <c r="S14" s="8">
        <v>2</v>
      </c>
      <c r="T14" s="9"/>
      <c r="U14" s="18">
        <f t="shared" si="2"/>
        <v>1.4444444444444444</v>
      </c>
      <c r="V14" s="41">
        <f t="shared" si="3"/>
        <v>0</v>
      </c>
      <c r="W14" s="14">
        <f t="shared" si="4"/>
        <v>0.48148148148148145</v>
      </c>
      <c r="X14" s="26">
        <f t="shared" si="5"/>
        <v>0</v>
      </c>
      <c r="Y14" s="36" t="str">
        <f t="shared" si="6"/>
        <v>50-75%</v>
      </c>
      <c r="Z14" s="37" t="str">
        <f t="shared" si="7"/>
        <v xml:space="preserve"> &lt; 50%</v>
      </c>
      <c r="AB14">
        <v>1</v>
      </c>
    </row>
    <row r="15" spans="1:28" ht="22.5" customHeight="1" x14ac:dyDescent="0.25">
      <c r="A15" s="8">
        <f>'Список детей'!A11</f>
        <v>10</v>
      </c>
      <c r="B15" s="24" t="str">
        <f>'Список детей'!B11</f>
        <v>Пеньков Лев</v>
      </c>
      <c r="C15" s="8">
        <v>1</v>
      </c>
      <c r="D15" s="9"/>
      <c r="E15" s="8">
        <v>1</v>
      </c>
      <c r="F15" s="9"/>
      <c r="G15" s="8">
        <v>1</v>
      </c>
      <c r="H15" s="9"/>
      <c r="I15" s="8">
        <v>1</v>
      </c>
      <c r="J15" s="9"/>
      <c r="K15" s="8">
        <v>1</v>
      </c>
      <c r="L15" s="9"/>
      <c r="M15" s="8">
        <v>2</v>
      </c>
      <c r="N15" s="9"/>
      <c r="O15" s="8">
        <v>1</v>
      </c>
      <c r="P15" s="9"/>
      <c r="Q15" s="8">
        <v>0</v>
      </c>
      <c r="R15" s="9"/>
      <c r="S15" s="8">
        <v>1</v>
      </c>
      <c r="T15" s="9"/>
      <c r="U15" s="18">
        <f t="shared" si="2"/>
        <v>1</v>
      </c>
      <c r="V15" s="41">
        <f t="shared" si="3"/>
        <v>0</v>
      </c>
      <c r="W15" s="14">
        <f t="shared" si="4"/>
        <v>0.33333333333333331</v>
      </c>
      <c r="X15" s="26">
        <f t="shared" si="5"/>
        <v>0</v>
      </c>
      <c r="Y15" s="36" t="str">
        <f t="shared" si="6"/>
        <v xml:space="preserve"> &lt; 50%</v>
      </c>
      <c r="Z15" s="37" t="str">
        <f t="shared" si="7"/>
        <v xml:space="preserve"> &lt; 50%</v>
      </c>
      <c r="AB15">
        <v>1</v>
      </c>
    </row>
    <row r="16" spans="1:28" ht="22.5" customHeight="1" x14ac:dyDescent="0.25">
      <c r="A16" s="8">
        <f>'Список детей'!A12</f>
        <v>11</v>
      </c>
      <c r="B16" s="24" t="str">
        <f>'Список детей'!B12</f>
        <v>Скворцова Вероника</v>
      </c>
      <c r="C16" s="8">
        <v>2</v>
      </c>
      <c r="D16" s="9"/>
      <c r="E16" s="8">
        <v>2</v>
      </c>
      <c r="F16" s="9"/>
      <c r="G16" s="8">
        <v>2</v>
      </c>
      <c r="H16" s="9"/>
      <c r="I16" s="8">
        <v>1</v>
      </c>
      <c r="J16" s="9"/>
      <c r="K16" s="8">
        <v>2</v>
      </c>
      <c r="L16" s="9"/>
      <c r="M16" s="8">
        <v>2</v>
      </c>
      <c r="N16" s="9"/>
      <c r="O16" s="8">
        <v>3</v>
      </c>
      <c r="P16" s="9"/>
      <c r="Q16" s="8">
        <v>2</v>
      </c>
      <c r="R16" s="9"/>
      <c r="S16" s="8">
        <v>2</v>
      </c>
      <c r="T16" s="9"/>
      <c r="U16" s="18">
        <f t="shared" si="2"/>
        <v>2</v>
      </c>
      <c r="V16" s="41">
        <f t="shared" si="3"/>
        <v>0</v>
      </c>
      <c r="W16" s="14">
        <f t="shared" si="4"/>
        <v>0.66666666666666663</v>
      </c>
      <c r="X16" s="26">
        <f t="shared" si="5"/>
        <v>0</v>
      </c>
      <c r="Y16" s="36" t="str">
        <f t="shared" si="6"/>
        <v>50-75%</v>
      </c>
      <c r="Z16" s="37" t="str">
        <f t="shared" si="7"/>
        <v xml:space="preserve"> &lt; 50%</v>
      </c>
      <c r="AB16">
        <v>1</v>
      </c>
    </row>
    <row r="17" spans="1:28" ht="22.5" customHeight="1" x14ac:dyDescent="0.25">
      <c r="A17" s="8">
        <f>'Список детей'!A13</f>
        <v>12</v>
      </c>
      <c r="B17" s="24" t="str">
        <f>'Список детей'!B13</f>
        <v>Самордин Аким</v>
      </c>
      <c r="C17" s="8">
        <v>0</v>
      </c>
      <c r="D17" s="9"/>
      <c r="E17" s="8">
        <v>1</v>
      </c>
      <c r="F17" s="9"/>
      <c r="G17" s="8">
        <v>0</v>
      </c>
      <c r="H17" s="9"/>
      <c r="I17" s="8">
        <v>0</v>
      </c>
      <c r="J17" s="9"/>
      <c r="K17" s="8">
        <v>0</v>
      </c>
      <c r="L17" s="9"/>
      <c r="M17" s="8">
        <v>1</v>
      </c>
      <c r="N17" s="9"/>
      <c r="O17" s="8">
        <v>1</v>
      </c>
      <c r="P17" s="9"/>
      <c r="Q17" s="8">
        <v>0</v>
      </c>
      <c r="R17" s="9"/>
      <c r="S17" s="8">
        <v>1</v>
      </c>
      <c r="T17" s="9"/>
      <c r="U17" s="18">
        <f t="shared" si="2"/>
        <v>0.44444444444444442</v>
      </c>
      <c r="V17" s="41">
        <f t="shared" si="3"/>
        <v>0</v>
      </c>
      <c r="W17" s="14">
        <f t="shared" si="4"/>
        <v>0.14814814814814814</v>
      </c>
      <c r="X17" s="26">
        <f t="shared" si="5"/>
        <v>0</v>
      </c>
      <c r="Y17" s="36" t="str">
        <f t="shared" si="6"/>
        <v xml:space="preserve"> &lt; 50%</v>
      </c>
      <c r="Z17" s="37" t="str">
        <f t="shared" si="7"/>
        <v xml:space="preserve"> &lt; 50%</v>
      </c>
      <c r="AB17">
        <v>1</v>
      </c>
    </row>
    <row r="18" spans="1:28" ht="22.5" customHeight="1" x14ac:dyDescent="0.25">
      <c r="A18" s="8">
        <f>'Список детей'!A14</f>
        <v>13</v>
      </c>
      <c r="B18" s="24" t="str">
        <f>'Список детей'!B14</f>
        <v>Франк Гектор</v>
      </c>
      <c r="C18" s="8">
        <v>2</v>
      </c>
      <c r="D18" s="9"/>
      <c r="E18" s="8">
        <v>2</v>
      </c>
      <c r="F18" s="9"/>
      <c r="G18" s="8">
        <v>1</v>
      </c>
      <c r="H18" s="9"/>
      <c r="I18" s="8">
        <v>1</v>
      </c>
      <c r="J18" s="9"/>
      <c r="K18" s="8">
        <v>2</v>
      </c>
      <c r="L18" s="9"/>
      <c r="M18" s="8">
        <v>2</v>
      </c>
      <c r="N18" s="9"/>
      <c r="O18" s="8">
        <v>1</v>
      </c>
      <c r="P18" s="9"/>
      <c r="Q18" s="8">
        <v>1</v>
      </c>
      <c r="R18" s="9"/>
      <c r="S18" s="8">
        <v>2</v>
      </c>
      <c r="T18" s="9"/>
      <c r="U18" s="18">
        <f t="shared" si="2"/>
        <v>1.5555555555555556</v>
      </c>
      <c r="V18" s="41">
        <f t="shared" si="3"/>
        <v>0</v>
      </c>
      <c r="W18" s="14">
        <f t="shared" si="4"/>
        <v>0.51851851851851849</v>
      </c>
      <c r="X18" s="26">
        <f t="shared" si="5"/>
        <v>0</v>
      </c>
      <c r="Y18" s="36" t="str">
        <f t="shared" si="6"/>
        <v>50-75%</v>
      </c>
      <c r="Z18" s="37" t="str">
        <f t="shared" si="7"/>
        <v xml:space="preserve"> &lt; 50%</v>
      </c>
      <c r="AB18">
        <v>1</v>
      </c>
    </row>
    <row r="19" spans="1:28" ht="22.5" customHeight="1" x14ac:dyDescent="0.25">
      <c r="A19" s="8">
        <f>'Список детей'!A15</f>
        <v>14</v>
      </c>
      <c r="B19" s="24" t="str">
        <f>'Список детей'!B15</f>
        <v>Швыдченко Кирилл</v>
      </c>
      <c r="C19" s="8">
        <v>2</v>
      </c>
      <c r="D19" s="9"/>
      <c r="E19" s="8">
        <v>2</v>
      </c>
      <c r="F19" s="9"/>
      <c r="G19" s="8">
        <v>1</v>
      </c>
      <c r="H19" s="9"/>
      <c r="I19" s="8">
        <v>1</v>
      </c>
      <c r="J19" s="9"/>
      <c r="K19" s="8">
        <v>1</v>
      </c>
      <c r="L19" s="9"/>
      <c r="M19" s="8">
        <v>1</v>
      </c>
      <c r="N19" s="9"/>
      <c r="O19" s="8">
        <v>2</v>
      </c>
      <c r="P19" s="9"/>
      <c r="Q19" s="8">
        <v>2</v>
      </c>
      <c r="R19" s="9"/>
      <c r="S19" s="8">
        <v>1</v>
      </c>
      <c r="T19" s="9"/>
      <c r="U19" s="18">
        <f t="shared" si="2"/>
        <v>1.4444444444444444</v>
      </c>
      <c r="V19" s="41">
        <f t="shared" si="3"/>
        <v>0</v>
      </c>
      <c r="W19" s="14">
        <f t="shared" si="4"/>
        <v>0.48148148148148145</v>
      </c>
      <c r="X19" s="26">
        <f t="shared" si="5"/>
        <v>0</v>
      </c>
      <c r="Y19" s="36" t="str">
        <f t="shared" si="6"/>
        <v>50-75%</v>
      </c>
      <c r="Z19" s="37" t="str">
        <f t="shared" si="7"/>
        <v xml:space="preserve"> &lt; 50%</v>
      </c>
      <c r="AB19">
        <v>1</v>
      </c>
    </row>
    <row r="20" spans="1:28" ht="22.5" customHeight="1" x14ac:dyDescent="0.25">
      <c r="A20" s="8">
        <f>'Список детей'!A16</f>
        <v>15</v>
      </c>
      <c r="B20" s="24" t="str">
        <f>'Список детей'!B16</f>
        <v>Ребенок 15</v>
      </c>
      <c r="C20" s="8"/>
      <c r="D20" s="9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8"/>
      <c r="R20" s="9"/>
      <c r="S20" s="8"/>
      <c r="T20" s="9"/>
      <c r="U20" s="18">
        <f t="shared" si="2"/>
        <v>0</v>
      </c>
      <c r="V20" s="41">
        <f t="shared" si="3"/>
        <v>0</v>
      </c>
      <c r="W20" s="14">
        <f t="shared" si="4"/>
        <v>0</v>
      </c>
      <c r="X20" s="26">
        <f t="shared" si="5"/>
        <v>0</v>
      </c>
      <c r="Y20" s="36" t="str">
        <f t="shared" si="6"/>
        <v xml:space="preserve"> &lt; 50%</v>
      </c>
      <c r="Z20" s="37" t="str">
        <f t="shared" si="7"/>
        <v xml:space="preserve"> &lt; 50%</v>
      </c>
      <c r="AB20">
        <v>1</v>
      </c>
    </row>
    <row r="21" spans="1:28" ht="22.5" customHeight="1" x14ac:dyDescent="0.25">
      <c r="A21" s="8">
        <f>'Список детей'!A17</f>
        <v>16</v>
      </c>
      <c r="B21" s="24" t="str">
        <f>'Список детей'!B17</f>
        <v>Ребенок 16</v>
      </c>
      <c r="C21" s="8"/>
      <c r="D21" s="9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8"/>
      <c r="R21" s="9"/>
      <c r="S21" s="8"/>
      <c r="T21" s="9"/>
      <c r="U21" s="18">
        <f t="shared" si="2"/>
        <v>0</v>
      </c>
      <c r="V21" s="41">
        <f t="shared" si="3"/>
        <v>0</v>
      </c>
      <c r="W21" s="14">
        <f t="shared" si="4"/>
        <v>0</v>
      </c>
      <c r="X21" s="26">
        <f t="shared" si="5"/>
        <v>0</v>
      </c>
      <c r="Y21" s="36" t="str">
        <f t="shared" si="6"/>
        <v xml:space="preserve"> &lt; 50%</v>
      </c>
      <c r="Z21" s="37" t="str">
        <f t="shared" si="7"/>
        <v xml:space="preserve"> &lt; 50%</v>
      </c>
      <c r="AB21">
        <v>1</v>
      </c>
    </row>
    <row r="22" spans="1:28" ht="22.5" customHeight="1" x14ac:dyDescent="0.25">
      <c r="A22" s="8">
        <f>'Список детей'!A18</f>
        <v>17</v>
      </c>
      <c r="B22" s="24" t="str">
        <f>'Список детей'!B18</f>
        <v>Ребенок 17</v>
      </c>
      <c r="C22" s="8"/>
      <c r="D22" s="9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8"/>
      <c r="R22" s="9"/>
      <c r="S22" s="8"/>
      <c r="T22" s="9"/>
      <c r="U22" s="18">
        <f t="shared" ref="U22:U25" si="8">(C22+E22+G22+I22+K22+M22+O22+Q22+S22)/9</f>
        <v>0</v>
      </c>
      <c r="V22" s="41">
        <f t="shared" ref="V22:V25" si="9">(D22+F22+H22+J22+L22+N22+P22+R22+T22)/9</f>
        <v>0</v>
      </c>
      <c r="W22" s="14">
        <f t="shared" ref="W22:W25" si="10">U22/3</f>
        <v>0</v>
      </c>
      <c r="X22" s="26">
        <f t="shared" ref="X22:X25" si="11">V22/3</f>
        <v>0</v>
      </c>
      <c r="Y22" s="36" t="str">
        <f t="shared" ref="Y22:Y25" si="12">IF(U22&lt;=1," &lt; 50%",IF(U22&lt;2.25,"50-75%","75-100%"))</f>
        <v xml:space="preserve"> &lt; 50%</v>
      </c>
      <c r="Z22" s="37" t="str">
        <f t="shared" ref="Z22:Z25" si="13">IF(V22&lt;=1," &lt; 50%",IF(V22&lt;2.25,"50-75%","75-100%"))</f>
        <v xml:space="preserve"> &lt; 50%</v>
      </c>
      <c r="AB22">
        <v>1</v>
      </c>
    </row>
    <row r="23" spans="1:28" ht="22.5" customHeight="1" x14ac:dyDescent="0.25">
      <c r="A23" s="8">
        <f>'Список детей'!A19</f>
        <v>18</v>
      </c>
      <c r="B23" s="24" t="str">
        <f>'Список детей'!B19</f>
        <v>Ребенок 18</v>
      </c>
      <c r="C23" s="8"/>
      <c r="D23" s="9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8"/>
      <c r="R23" s="9"/>
      <c r="S23" s="8"/>
      <c r="T23" s="9"/>
      <c r="U23" s="18">
        <f t="shared" si="8"/>
        <v>0</v>
      </c>
      <c r="V23" s="41">
        <f t="shared" si="9"/>
        <v>0</v>
      </c>
      <c r="W23" s="14">
        <f t="shared" si="10"/>
        <v>0</v>
      </c>
      <c r="X23" s="26">
        <f t="shared" si="11"/>
        <v>0</v>
      </c>
      <c r="Y23" s="36" t="str">
        <f t="shared" si="12"/>
        <v xml:space="preserve"> &lt; 50%</v>
      </c>
      <c r="Z23" s="37" t="str">
        <f t="shared" si="13"/>
        <v xml:space="preserve"> &lt; 50%</v>
      </c>
      <c r="AB23">
        <v>1</v>
      </c>
    </row>
    <row r="24" spans="1:28" ht="22.5" customHeight="1" x14ac:dyDescent="0.25">
      <c r="A24" s="8">
        <f>'Список детей'!A20</f>
        <v>19</v>
      </c>
      <c r="B24" s="24" t="str">
        <f>'Список детей'!B20</f>
        <v>Ребенок 19</v>
      </c>
      <c r="C24" s="8"/>
      <c r="D24" s="9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8"/>
      <c r="R24" s="9"/>
      <c r="S24" s="8"/>
      <c r="T24" s="9"/>
      <c r="U24" s="18">
        <f t="shared" si="8"/>
        <v>0</v>
      </c>
      <c r="V24" s="41">
        <f t="shared" si="9"/>
        <v>0</v>
      </c>
      <c r="W24" s="14">
        <f t="shared" si="10"/>
        <v>0</v>
      </c>
      <c r="X24" s="26">
        <f t="shared" si="11"/>
        <v>0</v>
      </c>
      <c r="Y24" s="36" t="str">
        <f t="shared" si="12"/>
        <v xml:space="preserve"> &lt; 50%</v>
      </c>
      <c r="Z24" s="37" t="str">
        <f t="shared" si="13"/>
        <v xml:space="preserve"> &lt; 50%</v>
      </c>
      <c r="AB24">
        <v>1</v>
      </c>
    </row>
    <row r="25" spans="1:28" ht="22.5" customHeight="1" x14ac:dyDescent="0.25">
      <c r="A25" s="8">
        <f>'Список детей'!A21</f>
        <v>20</v>
      </c>
      <c r="B25" s="24" t="str">
        <f>'Список детей'!B21</f>
        <v>Ребенок 20</v>
      </c>
      <c r="C25" s="8"/>
      <c r="D25" s="9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8"/>
      <c r="R25" s="9"/>
      <c r="S25" s="8"/>
      <c r="T25" s="9"/>
      <c r="U25" s="18">
        <f t="shared" si="8"/>
        <v>0</v>
      </c>
      <c r="V25" s="41">
        <f t="shared" si="9"/>
        <v>0</v>
      </c>
      <c r="W25" s="14">
        <f t="shared" si="10"/>
        <v>0</v>
      </c>
      <c r="X25" s="26">
        <f t="shared" si="11"/>
        <v>0</v>
      </c>
      <c r="Y25" s="36" t="str">
        <f t="shared" si="12"/>
        <v xml:space="preserve"> &lt; 50%</v>
      </c>
      <c r="Z25" s="37" t="str">
        <f t="shared" si="13"/>
        <v xml:space="preserve"> &lt; 50%</v>
      </c>
      <c r="AB25">
        <v>1</v>
      </c>
    </row>
    <row r="26" spans="1:28" ht="22.5" customHeight="1" x14ac:dyDescent="0.25">
      <c r="A26" s="8">
        <f>'Список детей'!A22</f>
        <v>21</v>
      </c>
      <c r="B26" s="24" t="str">
        <f>'Список детей'!B22</f>
        <v>-</v>
      </c>
      <c r="C26" s="8"/>
      <c r="D26" s="9"/>
      <c r="E26" s="8"/>
      <c r="F26" s="9"/>
      <c r="G26" s="8"/>
      <c r="H26" s="9"/>
      <c r="I26" s="8"/>
      <c r="J26" s="9"/>
      <c r="K26" s="8"/>
      <c r="L26" s="9"/>
      <c r="M26" s="8"/>
      <c r="N26" s="9"/>
      <c r="O26" s="8"/>
      <c r="P26" s="9"/>
      <c r="Q26" s="8"/>
      <c r="R26" s="9"/>
      <c r="S26" s="8"/>
      <c r="T26" s="9"/>
      <c r="U26" s="18"/>
      <c r="V26" s="41"/>
      <c r="W26" s="14"/>
      <c r="X26" s="26"/>
      <c r="Y26" s="36"/>
      <c r="Z26" s="37"/>
    </row>
    <row r="27" spans="1:28" ht="22.5" customHeight="1" x14ac:dyDescent="0.25">
      <c r="A27" s="8">
        <f>'Список детей'!A23</f>
        <v>22</v>
      </c>
      <c r="B27" s="24" t="str">
        <f>'Список детей'!B23</f>
        <v>-</v>
      </c>
      <c r="C27" s="8"/>
      <c r="D27" s="9"/>
      <c r="E27" s="8"/>
      <c r="F27" s="9"/>
      <c r="G27" s="8"/>
      <c r="H27" s="9"/>
      <c r="I27" s="8"/>
      <c r="J27" s="9"/>
      <c r="K27" s="8"/>
      <c r="L27" s="9"/>
      <c r="M27" s="8"/>
      <c r="N27" s="9"/>
      <c r="O27" s="8"/>
      <c r="P27" s="9"/>
      <c r="Q27" s="8"/>
      <c r="R27" s="9"/>
      <c r="S27" s="8"/>
      <c r="T27" s="9"/>
      <c r="U27" s="18"/>
      <c r="V27" s="41"/>
      <c r="W27" s="14"/>
      <c r="X27" s="26"/>
      <c r="Y27" s="36"/>
      <c r="Z27" s="37"/>
    </row>
    <row r="28" spans="1:28" ht="22.5" customHeight="1" x14ac:dyDescent="0.25">
      <c r="A28" s="8">
        <f>'Список детей'!A24</f>
        <v>23</v>
      </c>
      <c r="B28" s="24" t="str">
        <f>'Список детей'!B24</f>
        <v>-</v>
      </c>
      <c r="C28" s="8"/>
      <c r="D28" s="9"/>
      <c r="E28" s="8"/>
      <c r="F28" s="9"/>
      <c r="G28" s="8"/>
      <c r="H28" s="9"/>
      <c r="I28" s="8"/>
      <c r="J28" s="9"/>
      <c r="K28" s="8"/>
      <c r="L28" s="9"/>
      <c r="M28" s="8"/>
      <c r="N28" s="9"/>
      <c r="O28" s="8"/>
      <c r="P28" s="9"/>
      <c r="Q28" s="8"/>
      <c r="R28" s="9"/>
      <c r="S28" s="8"/>
      <c r="T28" s="9"/>
      <c r="U28" s="18"/>
      <c r="V28" s="41"/>
      <c r="W28" s="14"/>
      <c r="X28" s="26"/>
      <c r="Y28" s="36"/>
      <c r="Z28" s="37"/>
    </row>
    <row r="29" spans="1:28" ht="22.5" customHeight="1" x14ac:dyDescent="0.25">
      <c r="A29" s="8"/>
      <c r="B29" s="12"/>
      <c r="C29" s="8"/>
      <c r="D29" s="9"/>
      <c r="E29" s="8"/>
      <c r="F29" s="9"/>
      <c r="G29" s="8"/>
      <c r="H29" s="9"/>
      <c r="I29" s="8"/>
      <c r="J29" s="9"/>
      <c r="K29" s="8"/>
      <c r="L29" s="9"/>
      <c r="M29" s="8"/>
      <c r="N29" s="9"/>
      <c r="O29" s="8"/>
      <c r="P29" s="9"/>
      <c r="Q29" s="8"/>
      <c r="R29" s="9"/>
      <c r="S29" s="8"/>
      <c r="T29" s="9"/>
      <c r="U29" s="18"/>
      <c r="V29" s="41"/>
      <c r="W29" s="14"/>
      <c r="X29" s="26"/>
      <c r="Y29" s="29"/>
      <c r="Z29" s="30"/>
    </row>
    <row r="30" spans="1:28" ht="22.5" customHeight="1" x14ac:dyDescent="0.25">
      <c r="A30" s="8"/>
      <c r="B30" s="12"/>
      <c r="C30" s="8"/>
      <c r="D30" s="9"/>
      <c r="E30" s="8"/>
      <c r="F30" s="9"/>
      <c r="G30" s="8"/>
      <c r="H30" s="9"/>
      <c r="I30" s="8"/>
      <c r="J30" s="9"/>
      <c r="K30" s="8"/>
      <c r="L30" s="9"/>
      <c r="M30" s="8"/>
      <c r="N30" s="9"/>
      <c r="O30" s="8"/>
      <c r="P30" s="9"/>
      <c r="Q30" s="8"/>
      <c r="R30" s="9"/>
      <c r="S30" s="8"/>
      <c r="T30" s="9"/>
      <c r="U30" s="18"/>
      <c r="V30" s="41"/>
      <c r="W30" s="14"/>
      <c r="X30" s="26"/>
      <c r="Y30" s="29"/>
      <c r="Z30" s="30"/>
    </row>
    <row r="31" spans="1:28" ht="33.75" customHeight="1" x14ac:dyDescent="0.25">
      <c r="A31" s="47" t="s">
        <v>6</v>
      </c>
      <c r="B31" s="47"/>
      <c r="C31" s="18">
        <f t="shared" ref="C31:U31" si="14">AVERAGE(C6:C30)</f>
        <v>1.3076923076923077</v>
      </c>
      <c r="D31" s="41" t="e">
        <f t="shared" si="14"/>
        <v>#DIV/0!</v>
      </c>
      <c r="E31" s="18">
        <f t="shared" si="14"/>
        <v>1.4615384615384615</v>
      </c>
      <c r="F31" s="41" t="e">
        <f t="shared" si="14"/>
        <v>#DIV/0!</v>
      </c>
      <c r="G31" s="18">
        <f t="shared" si="14"/>
        <v>1.1538461538461537</v>
      </c>
      <c r="H31" s="41" t="e">
        <f t="shared" si="14"/>
        <v>#DIV/0!</v>
      </c>
      <c r="I31" s="18">
        <f t="shared" si="14"/>
        <v>0.92307692307692313</v>
      </c>
      <c r="J31" s="41" t="e">
        <f t="shared" si="14"/>
        <v>#DIV/0!</v>
      </c>
      <c r="K31" s="18">
        <f t="shared" si="14"/>
        <v>1.5384615384615385</v>
      </c>
      <c r="L31" s="41" t="e">
        <f t="shared" si="14"/>
        <v>#DIV/0!</v>
      </c>
      <c r="M31" s="18">
        <f t="shared" si="14"/>
        <v>1.7692307692307692</v>
      </c>
      <c r="N31" s="41" t="e">
        <f t="shared" si="14"/>
        <v>#DIV/0!</v>
      </c>
      <c r="O31" s="18">
        <f t="shared" si="14"/>
        <v>1.6923076923076923</v>
      </c>
      <c r="P31" s="41" t="e">
        <f t="shared" si="14"/>
        <v>#DIV/0!</v>
      </c>
      <c r="Q31" s="18">
        <f t="shared" si="14"/>
        <v>1.1538461538461537</v>
      </c>
      <c r="R31" s="41" t="e">
        <f t="shared" si="14"/>
        <v>#DIV/0!</v>
      </c>
      <c r="S31" s="18">
        <f t="shared" si="14"/>
        <v>1.6923076923076923</v>
      </c>
      <c r="T31" s="41" t="e">
        <f t="shared" si="14"/>
        <v>#DIV/0!</v>
      </c>
      <c r="U31" s="18">
        <f t="shared" si="14"/>
        <v>0.91666666666666663</v>
      </c>
      <c r="V31" s="41">
        <f>AVERAGE(V6:V30)</f>
        <v>0</v>
      </c>
      <c r="W31" s="29">
        <f>SUM(W6:W26)/'Список детей'!$C$34</f>
        <v>0.43650793650793646</v>
      </c>
      <c r="X31" s="30">
        <f>SUM(X6:X26)/'Список детей'!$C$34</f>
        <v>0</v>
      </c>
      <c r="Y31" s="27"/>
      <c r="Z31" s="28"/>
    </row>
    <row r="32" spans="1:2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2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32"/>
      <c r="O33" s="32"/>
      <c r="P33" s="32"/>
      <c r="Q33" s="32"/>
      <c r="R33" s="32"/>
      <c r="S33" s="6" t="s">
        <v>24</v>
      </c>
      <c r="T33" s="6" t="s">
        <v>23</v>
      </c>
    </row>
    <row r="34" spans="1:2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33" t="s">
        <v>16</v>
      </c>
      <c r="O34" s="33"/>
      <c r="P34" s="33"/>
      <c r="Q34" s="33"/>
      <c r="R34" s="33"/>
      <c r="S34" s="6">
        <f>SUMIF(Y6:Y30," &lt; 50%",AB6:AB30)</f>
        <v>10</v>
      </c>
      <c r="T34" s="6">
        <f>SUMIF(Z6:Z30," &lt; 50%",AB6:AB30)</f>
        <v>20</v>
      </c>
    </row>
    <row r="35" spans="1:2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33" t="s">
        <v>17</v>
      </c>
      <c r="O35" s="33"/>
      <c r="P35" s="33"/>
      <c r="Q35" s="33"/>
      <c r="R35" s="33"/>
      <c r="S35" s="6">
        <f>SUMIF(Y6:Y30,"50-75%",AB6:AB30)</f>
        <v>10</v>
      </c>
      <c r="T35" s="6">
        <f>SUMIF(Z6:Z30,"50-75%",AB6:AB30)</f>
        <v>0</v>
      </c>
    </row>
    <row r="36" spans="1:2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33" t="s">
        <v>19</v>
      </c>
      <c r="O36" s="33"/>
      <c r="P36" s="33"/>
      <c r="Q36" s="33"/>
      <c r="R36" s="33"/>
      <c r="S36" s="6">
        <f>SUMIF(Y6:Y30,"75-100%",AB6:AB30)</f>
        <v>0</v>
      </c>
      <c r="T36" s="6">
        <f>SUMIF(Z6:Z30,"75-100%",AB6:AB30)</f>
        <v>0</v>
      </c>
    </row>
    <row r="37" spans="1:2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32"/>
      <c r="O37" s="32"/>
      <c r="P37" s="32"/>
      <c r="Q37" s="32"/>
      <c r="R37" s="32"/>
      <c r="S37" s="6"/>
    </row>
    <row r="38" spans="1:2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33"/>
      <c r="O38" s="33"/>
      <c r="P38" s="33"/>
      <c r="Q38" s="33"/>
      <c r="R38" s="33"/>
    </row>
    <row r="39" spans="1:2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33"/>
      <c r="O39" s="33"/>
      <c r="P39" s="33"/>
      <c r="Q39" s="33"/>
      <c r="R39" s="33"/>
    </row>
    <row r="40" spans="1:2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33"/>
      <c r="O40" s="33"/>
      <c r="P40" s="33"/>
      <c r="Q40" s="33"/>
      <c r="R40" s="33"/>
    </row>
  </sheetData>
  <mergeCells count="15">
    <mergeCell ref="Y3:Z4"/>
    <mergeCell ref="W3:X4"/>
    <mergeCell ref="A31:B31"/>
    <mergeCell ref="I3:J4"/>
    <mergeCell ref="K3:L4"/>
    <mergeCell ref="M3:N4"/>
    <mergeCell ref="S3:T4"/>
    <mergeCell ref="U3:V4"/>
    <mergeCell ref="A3:A5"/>
    <mergeCell ref="B3:B5"/>
    <mergeCell ref="C3:D4"/>
    <mergeCell ref="E3:F4"/>
    <mergeCell ref="G3:H4"/>
    <mergeCell ref="O3:P4"/>
    <mergeCell ref="Q3:R4"/>
  </mergeCells>
  <pageMargins left="0.70866141732283472" right="0.70866141732283472" top="0.74803149606299213" bottom="0.74803149606299213" header="0.51181102362204722" footer="0.51181102362204722"/>
  <pageSetup paperSize="9" scale="49" firstPageNumber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39"/>
  <sheetViews>
    <sheetView zoomScale="70" zoomScaleNormal="70" workbookViewId="0">
      <selection activeCell="B2" sqref="B2"/>
    </sheetView>
  </sheetViews>
  <sheetFormatPr defaultRowHeight="15" x14ac:dyDescent="0.25"/>
  <cols>
    <col min="1" max="1" width="6.7109375" customWidth="1"/>
    <col min="2" max="2" width="32.28515625" customWidth="1"/>
    <col min="3" max="3" width="11.85546875" customWidth="1"/>
    <col min="4" max="4" width="11.42578125"/>
    <col min="5" max="5" width="12.28515625" customWidth="1"/>
    <col min="6" max="6" width="12" customWidth="1"/>
    <col min="7" max="7" width="11.85546875" customWidth="1"/>
    <col min="8" max="8" width="12.42578125" customWidth="1"/>
    <col min="9" max="10" width="12.28515625" customWidth="1"/>
    <col min="11" max="11" width="11.85546875" customWidth="1"/>
    <col min="12" max="14" width="13.28515625" customWidth="1"/>
    <col min="15" max="15" width="11.85546875" customWidth="1"/>
    <col min="16" max="16" width="11.5703125" customWidth="1"/>
    <col min="17" max="18" width="9.28515625" style="1" customWidth="1"/>
    <col min="19" max="20" width="8.7109375" customWidth="1"/>
    <col min="21" max="21" width="9.42578125" bestFit="1" customWidth="1"/>
    <col min="22" max="22" width="10.5703125" bestFit="1" customWidth="1"/>
    <col min="23" max="1027" width="8.7109375" customWidth="1"/>
  </cols>
  <sheetData>
    <row r="1" spans="1:24" x14ac:dyDescent="0.25">
      <c r="A1" s="6"/>
      <c r="B1" s="16" t="s">
        <v>13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7"/>
      <c r="S1" s="6"/>
      <c r="T1" s="6"/>
    </row>
    <row r="2" spans="1:24" x14ac:dyDescent="0.25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6"/>
      <c r="T2" s="6"/>
    </row>
    <row r="3" spans="1:24" ht="156.75" customHeight="1" x14ac:dyDescent="0.25">
      <c r="A3" s="47" t="s">
        <v>1</v>
      </c>
      <c r="B3" s="48" t="s">
        <v>2</v>
      </c>
      <c r="C3" s="47" t="s">
        <v>84</v>
      </c>
      <c r="D3" s="47"/>
      <c r="E3" s="47" t="s">
        <v>36</v>
      </c>
      <c r="F3" s="47"/>
      <c r="G3" s="47" t="s">
        <v>37</v>
      </c>
      <c r="H3" s="47"/>
      <c r="I3" s="47" t="s">
        <v>38</v>
      </c>
      <c r="J3" s="47"/>
      <c r="K3" s="47" t="s">
        <v>85</v>
      </c>
      <c r="L3" s="47"/>
      <c r="M3" s="52" t="s">
        <v>39</v>
      </c>
      <c r="N3" s="53"/>
      <c r="O3" s="47" t="s">
        <v>40</v>
      </c>
      <c r="P3" s="47"/>
      <c r="Q3" s="45" t="s">
        <v>3</v>
      </c>
      <c r="R3" s="45"/>
      <c r="S3" s="45" t="s">
        <v>4</v>
      </c>
      <c r="T3" s="45"/>
      <c r="U3" s="45" t="s">
        <v>18</v>
      </c>
      <c r="V3" s="45"/>
    </row>
    <row r="4" spans="1:24" ht="21" customHeight="1" x14ac:dyDescent="0.25">
      <c r="A4" s="47"/>
      <c r="B4" s="48"/>
      <c r="C4" s="8" t="s">
        <v>10</v>
      </c>
      <c r="D4" s="9" t="s">
        <v>5</v>
      </c>
      <c r="E4" s="8" t="s">
        <v>10</v>
      </c>
      <c r="F4" s="9" t="s">
        <v>5</v>
      </c>
      <c r="G4" s="8" t="s">
        <v>10</v>
      </c>
      <c r="H4" s="9" t="s">
        <v>5</v>
      </c>
      <c r="I4" s="8" t="s">
        <v>10</v>
      </c>
      <c r="J4" s="9" t="s">
        <v>5</v>
      </c>
      <c r="K4" s="8" t="s">
        <v>10</v>
      </c>
      <c r="L4" s="9" t="s">
        <v>5</v>
      </c>
      <c r="M4" s="8" t="s">
        <v>10</v>
      </c>
      <c r="N4" s="9" t="s">
        <v>5</v>
      </c>
      <c r="O4" s="8" t="s">
        <v>10</v>
      </c>
      <c r="P4" s="9" t="s">
        <v>5</v>
      </c>
      <c r="Q4" s="27" t="s">
        <v>10</v>
      </c>
      <c r="R4" s="28" t="s">
        <v>5</v>
      </c>
      <c r="S4" s="27" t="s">
        <v>10</v>
      </c>
      <c r="T4" s="28" t="s">
        <v>5</v>
      </c>
      <c r="U4" s="27" t="s">
        <v>20</v>
      </c>
      <c r="V4" s="28" t="s">
        <v>5</v>
      </c>
    </row>
    <row r="5" spans="1:24" ht="22.5" customHeight="1" x14ac:dyDescent="0.25">
      <c r="A5" s="19">
        <f>'Список детей'!A2</f>
        <v>1</v>
      </c>
      <c r="B5" s="12" t="str">
        <f>'Список детей'!B2</f>
        <v>Бобрышев Мрон</v>
      </c>
      <c r="C5" s="8">
        <v>1</v>
      </c>
      <c r="D5" s="9"/>
      <c r="E5" s="8">
        <v>1</v>
      </c>
      <c r="F5" s="9"/>
      <c r="G5" s="8">
        <v>1</v>
      </c>
      <c r="H5" s="9"/>
      <c r="I5" s="8">
        <v>1</v>
      </c>
      <c r="J5" s="9"/>
      <c r="K5" s="8">
        <v>2</v>
      </c>
      <c r="L5" s="9"/>
      <c r="M5" s="8">
        <v>1</v>
      </c>
      <c r="N5" s="9"/>
      <c r="O5" s="8">
        <v>1</v>
      </c>
      <c r="P5" s="9"/>
      <c r="Q5" s="31">
        <f>(C5+E5+G5+I5+K5+M5+O5)/7</f>
        <v>1.1428571428571428</v>
      </c>
      <c r="R5" s="42">
        <f>(D5+F5+H5+J5+L5+N5+P5)/7</f>
        <v>0</v>
      </c>
      <c r="S5" s="29">
        <f>Q5/3</f>
        <v>0.38095238095238093</v>
      </c>
      <c r="T5" s="30">
        <f>R5/3</f>
        <v>0</v>
      </c>
      <c r="U5" s="36" t="str">
        <f>IF(Q5&lt;=1," &lt; 50%",IF(Q5&lt;2.25,"50-75%","75-100%"))</f>
        <v>50-75%</v>
      </c>
      <c r="V5" s="37" t="str">
        <f>IF(R5&lt;=1," &lt; 50%",IF(R5&lt;2.25,"50-75%","75-100%"))</f>
        <v xml:space="preserve"> &lt; 50%</v>
      </c>
      <c r="X5">
        <v>1</v>
      </c>
    </row>
    <row r="6" spans="1:24" ht="22.5" customHeight="1" x14ac:dyDescent="0.25">
      <c r="A6" s="19">
        <f>'Список детей'!A3</f>
        <v>2</v>
      </c>
      <c r="B6" s="12" t="str">
        <f>'Список детей'!B3</f>
        <v>Буяновская Варвара</v>
      </c>
      <c r="C6" s="8">
        <v>2</v>
      </c>
      <c r="D6" s="9"/>
      <c r="E6" s="8">
        <v>2</v>
      </c>
      <c r="F6" s="9"/>
      <c r="G6" s="8">
        <v>2</v>
      </c>
      <c r="H6" s="9"/>
      <c r="I6" s="8">
        <v>1</v>
      </c>
      <c r="J6" s="9"/>
      <c r="K6" s="8">
        <v>2</v>
      </c>
      <c r="L6" s="9"/>
      <c r="M6" s="8">
        <v>2</v>
      </c>
      <c r="N6" s="9"/>
      <c r="O6" s="8">
        <v>1</v>
      </c>
      <c r="P6" s="9"/>
      <c r="Q6" s="31">
        <f t="shared" ref="Q6:Q20" si="0">(C6+E6+G6+I6+K6+M6+O6)/7</f>
        <v>1.7142857142857142</v>
      </c>
      <c r="R6" s="42">
        <f t="shared" ref="R6:R20" si="1">(D6+F6+H6+J6+L6+N6+P6)/7</f>
        <v>0</v>
      </c>
      <c r="S6" s="29">
        <f t="shared" ref="S6:S20" si="2">Q6/3</f>
        <v>0.5714285714285714</v>
      </c>
      <c r="T6" s="30">
        <f t="shared" ref="T6:T20" si="3">R6/3</f>
        <v>0</v>
      </c>
      <c r="U6" s="36" t="str">
        <f t="shared" ref="U6:U20" si="4">IF(Q6&lt;=1," &lt; 50%",IF(Q6&lt;2.25,"50-75%","75-100%"))</f>
        <v>50-75%</v>
      </c>
      <c r="V6" s="37" t="str">
        <f t="shared" ref="V6:V20" si="5">IF(R6&lt;=1," &lt; 50%",IF(R6&lt;2.25,"50-75%","75-100%"))</f>
        <v xml:space="preserve"> &lt; 50%</v>
      </c>
      <c r="X6">
        <v>1</v>
      </c>
    </row>
    <row r="7" spans="1:24" ht="22.5" customHeight="1" x14ac:dyDescent="0.25">
      <c r="A7" s="19">
        <f>'Список детей'!A4</f>
        <v>3</v>
      </c>
      <c r="B7" s="12" t="str">
        <f>'Список детей'!B4</f>
        <v>Визиров Саша</v>
      </c>
      <c r="C7" s="8">
        <v>2</v>
      </c>
      <c r="D7" s="9"/>
      <c r="E7" s="8">
        <v>2</v>
      </c>
      <c r="F7" s="9"/>
      <c r="G7" s="8">
        <v>2</v>
      </c>
      <c r="H7" s="9"/>
      <c r="I7" s="8">
        <v>2</v>
      </c>
      <c r="J7" s="9"/>
      <c r="K7" s="8">
        <v>3</v>
      </c>
      <c r="L7" s="9"/>
      <c r="M7" s="8">
        <v>3</v>
      </c>
      <c r="N7" s="9"/>
      <c r="O7" s="8">
        <v>2</v>
      </c>
      <c r="P7" s="9"/>
      <c r="Q7" s="31">
        <f t="shared" si="0"/>
        <v>2.2857142857142856</v>
      </c>
      <c r="R7" s="42">
        <f t="shared" si="1"/>
        <v>0</v>
      </c>
      <c r="S7" s="29">
        <f t="shared" si="2"/>
        <v>0.76190476190476186</v>
      </c>
      <c r="T7" s="30">
        <f t="shared" si="3"/>
        <v>0</v>
      </c>
      <c r="U7" s="36" t="str">
        <f t="shared" si="4"/>
        <v>75-100%</v>
      </c>
      <c r="V7" s="37" t="str">
        <f t="shared" si="5"/>
        <v xml:space="preserve"> &lt; 50%</v>
      </c>
      <c r="X7">
        <v>1</v>
      </c>
    </row>
    <row r="8" spans="1:24" ht="22.5" customHeight="1" x14ac:dyDescent="0.25">
      <c r="A8" s="19">
        <f>'Список детей'!A5</f>
        <v>4</v>
      </c>
      <c r="B8" s="12" t="str">
        <f>'Список детей'!B5</f>
        <v>Волкова Аня</v>
      </c>
      <c r="C8" s="8">
        <v>1</v>
      </c>
      <c r="D8" s="9"/>
      <c r="E8" s="8">
        <v>2</v>
      </c>
      <c r="F8" s="9"/>
      <c r="G8" s="8">
        <v>1</v>
      </c>
      <c r="H8" s="9"/>
      <c r="I8" s="8">
        <v>1</v>
      </c>
      <c r="J8" s="9"/>
      <c r="K8" s="8">
        <v>2</v>
      </c>
      <c r="L8" s="9"/>
      <c r="M8" s="8">
        <v>2</v>
      </c>
      <c r="N8" s="9"/>
      <c r="O8" s="8">
        <v>1</v>
      </c>
      <c r="P8" s="9"/>
      <c r="Q8" s="31">
        <f t="shared" si="0"/>
        <v>1.4285714285714286</v>
      </c>
      <c r="R8" s="42">
        <f t="shared" si="1"/>
        <v>0</v>
      </c>
      <c r="S8" s="29">
        <f t="shared" si="2"/>
        <v>0.47619047619047622</v>
      </c>
      <c r="T8" s="30">
        <f t="shared" si="3"/>
        <v>0</v>
      </c>
      <c r="U8" s="36" t="str">
        <f t="shared" si="4"/>
        <v>50-75%</v>
      </c>
      <c r="V8" s="37" t="str">
        <f t="shared" si="5"/>
        <v xml:space="preserve"> &lt; 50%</v>
      </c>
      <c r="X8">
        <v>1</v>
      </c>
    </row>
    <row r="9" spans="1:24" ht="22.5" customHeight="1" x14ac:dyDescent="0.25">
      <c r="A9" s="19">
        <f>'Список детей'!A6</f>
        <v>5</v>
      </c>
      <c r="B9" s="12" t="str">
        <f>'Список детей'!B6</f>
        <v>Волков Даня</v>
      </c>
      <c r="C9" s="8">
        <v>2</v>
      </c>
      <c r="D9" s="9"/>
      <c r="E9" s="8">
        <v>2</v>
      </c>
      <c r="F9" s="9"/>
      <c r="G9" s="8">
        <v>2</v>
      </c>
      <c r="H9" s="9"/>
      <c r="I9" s="8">
        <v>2</v>
      </c>
      <c r="J9" s="9"/>
      <c r="K9" s="8">
        <v>3</v>
      </c>
      <c r="L9" s="9"/>
      <c r="M9" s="8">
        <v>3</v>
      </c>
      <c r="N9" s="9"/>
      <c r="O9" s="8">
        <v>2</v>
      </c>
      <c r="P9" s="9"/>
      <c r="Q9" s="31">
        <f t="shared" si="0"/>
        <v>2.2857142857142856</v>
      </c>
      <c r="R9" s="42">
        <f t="shared" si="1"/>
        <v>0</v>
      </c>
      <c r="S9" s="29">
        <f t="shared" si="2"/>
        <v>0.76190476190476186</v>
      </c>
      <c r="T9" s="30">
        <f t="shared" si="3"/>
        <v>0</v>
      </c>
      <c r="U9" s="36" t="str">
        <f t="shared" si="4"/>
        <v>75-100%</v>
      </c>
      <c r="V9" s="37" t="str">
        <f t="shared" si="5"/>
        <v xml:space="preserve"> &lt; 50%</v>
      </c>
      <c r="X9">
        <v>1</v>
      </c>
    </row>
    <row r="10" spans="1:24" ht="22.5" customHeight="1" x14ac:dyDescent="0.25">
      <c r="A10" s="19">
        <f>'Список детей'!A7</f>
        <v>6</v>
      </c>
      <c r="B10" s="12" t="str">
        <f>'Список детей'!B7</f>
        <v>Григорьева Эмилия</v>
      </c>
      <c r="C10" s="8"/>
      <c r="D10" s="9"/>
      <c r="E10" s="8"/>
      <c r="F10" s="9"/>
      <c r="G10" s="8"/>
      <c r="H10" s="9"/>
      <c r="I10" s="8"/>
      <c r="J10" s="9"/>
      <c r="K10" s="8"/>
      <c r="L10" s="9"/>
      <c r="M10" s="8"/>
      <c r="N10" s="9"/>
      <c r="O10" s="8"/>
      <c r="P10" s="9"/>
      <c r="Q10" s="31">
        <f t="shared" si="0"/>
        <v>0</v>
      </c>
      <c r="R10" s="42">
        <f t="shared" si="1"/>
        <v>0</v>
      </c>
      <c r="S10" s="29">
        <f t="shared" si="2"/>
        <v>0</v>
      </c>
      <c r="T10" s="30">
        <f t="shared" si="3"/>
        <v>0</v>
      </c>
      <c r="U10" s="36" t="str">
        <f t="shared" si="4"/>
        <v xml:space="preserve"> &lt; 50%</v>
      </c>
      <c r="V10" s="37" t="str">
        <f t="shared" si="5"/>
        <v xml:space="preserve"> &lt; 50%</v>
      </c>
      <c r="X10">
        <v>1</v>
      </c>
    </row>
    <row r="11" spans="1:24" ht="22.5" customHeight="1" x14ac:dyDescent="0.25">
      <c r="A11" s="19">
        <f>'Список детей'!A8</f>
        <v>7</v>
      </c>
      <c r="B11" s="12" t="str">
        <f>'Список детей'!B8</f>
        <v>Головастов Вова</v>
      </c>
      <c r="C11" s="8">
        <v>2</v>
      </c>
      <c r="D11" s="9"/>
      <c r="E11" s="8">
        <v>2</v>
      </c>
      <c r="F11" s="9"/>
      <c r="G11" s="8">
        <v>1</v>
      </c>
      <c r="H11" s="9"/>
      <c r="I11" s="8">
        <v>1</v>
      </c>
      <c r="J11" s="9"/>
      <c r="K11" s="8">
        <v>2</v>
      </c>
      <c r="L11" s="9"/>
      <c r="M11" s="8">
        <v>1</v>
      </c>
      <c r="N11" s="9"/>
      <c r="O11" s="8">
        <v>1</v>
      </c>
      <c r="P11" s="9"/>
      <c r="Q11" s="31">
        <f t="shared" si="0"/>
        <v>1.4285714285714286</v>
      </c>
      <c r="R11" s="42">
        <f t="shared" si="1"/>
        <v>0</v>
      </c>
      <c r="S11" s="29">
        <f t="shared" si="2"/>
        <v>0.47619047619047622</v>
      </c>
      <c r="T11" s="30">
        <f t="shared" si="3"/>
        <v>0</v>
      </c>
      <c r="U11" s="36" t="str">
        <f t="shared" si="4"/>
        <v>50-75%</v>
      </c>
      <c r="V11" s="37" t="str">
        <f t="shared" si="5"/>
        <v xml:space="preserve"> &lt; 50%</v>
      </c>
      <c r="X11">
        <v>1</v>
      </c>
    </row>
    <row r="12" spans="1:24" ht="22.5" customHeight="1" x14ac:dyDescent="0.25">
      <c r="A12" s="19">
        <f>'Список детей'!A9</f>
        <v>8</v>
      </c>
      <c r="B12" s="12" t="str">
        <f>'Список детей'!B9</f>
        <v>Ковалев Богдан</v>
      </c>
      <c r="C12" s="8">
        <v>1</v>
      </c>
      <c r="D12" s="9"/>
      <c r="E12" s="8">
        <v>1</v>
      </c>
      <c r="F12" s="9"/>
      <c r="G12" s="8">
        <v>0</v>
      </c>
      <c r="H12" s="9"/>
      <c r="I12" s="8">
        <v>1</v>
      </c>
      <c r="J12" s="9"/>
      <c r="K12" s="8">
        <v>2</v>
      </c>
      <c r="L12" s="9"/>
      <c r="M12" s="8">
        <v>1</v>
      </c>
      <c r="N12" s="9"/>
      <c r="O12" s="8">
        <v>1</v>
      </c>
      <c r="P12" s="9"/>
      <c r="Q12" s="31">
        <f t="shared" si="0"/>
        <v>1</v>
      </c>
      <c r="R12" s="42">
        <f t="shared" si="1"/>
        <v>0</v>
      </c>
      <c r="S12" s="29">
        <f t="shared" si="2"/>
        <v>0.33333333333333331</v>
      </c>
      <c r="T12" s="30">
        <f t="shared" si="3"/>
        <v>0</v>
      </c>
      <c r="U12" s="36" t="str">
        <f t="shared" si="4"/>
        <v xml:space="preserve"> &lt; 50%</v>
      </c>
      <c r="V12" s="37" t="str">
        <f t="shared" si="5"/>
        <v xml:space="preserve"> &lt; 50%</v>
      </c>
      <c r="X12">
        <v>1</v>
      </c>
    </row>
    <row r="13" spans="1:24" ht="22.5" customHeight="1" x14ac:dyDescent="0.25">
      <c r="A13" s="19">
        <f>'Список детей'!A10</f>
        <v>9</v>
      </c>
      <c r="B13" s="12" t="str">
        <f>'Список детей'!B10</f>
        <v>Назаренко Максим</v>
      </c>
      <c r="C13" s="8">
        <v>2</v>
      </c>
      <c r="D13" s="9"/>
      <c r="E13" s="8">
        <v>2</v>
      </c>
      <c r="F13" s="9"/>
      <c r="G13" s="8">
        <v>1</v>
      </c>
      <c r="H13" s="9"/>
      <c r="I13" s="8">
        <v>2</v>
      </c>
      <c r="J13" s="9"/>
      <c r="K13" s="8">
        <v>2</v>
      </c>
      <c r="L13" s="9"/>
      <c r="M13" s="8">
        <v>2</v>
      </c>
      <c r="N13" s="9"/>
      <c r="O13" s="8">
        <v>2</v>
      </c>
      <c r="P13" s="9"/>
      <c r="Q13" s="31">
        <f t="shared" si="0"/>
        <v>1.8571428571428572</v>
      </c>
      <c r="R13" s="42">
        <f t="shared" si="1"/>
        <v>0</v>
      </c>
      <c r="S13" s="29">
        <f t="shared" si="2"/>
        <v>0.61904761904761907</v>
      </c>
      <c r="T13" s="30">
        <f t="shared" si="3"/>
        <v>0</v>
      </c>
      <c r="U13" s="36" t="str">
        <f t="shared" si="4"/>
        <v>50-75%</v>
      </c>
      <c r="V13" s="37" t="str">
        <f t="shared" si="5"/>
        <v xml:space="preserve"> &lt; 50%</v>
      </c>
      <c r="X13">
        <v>1</v>
      </c>
    </row>
    <row r="14" spans="1:24" ht="22.5" customHeight="1" x14ac:dyDescent="0.25">
      <c r="A14" s="19">
        <f>'Список детей'!A11</f>
        <v>10</v>
      </c>
      <c r="B14" s="12" t="str">
        <f>'Список детей'!B11</f>
        <v>Пеньков Лев</v>
      </c>
      <c r="C14" s="8">
        <v>1</v>
      </c>
      <c r="D14" s="9"/>
      <c r="E14" s="8">
        <v>1</v>
      </c>
      <c r="F14" s="9"/>
      <c r="G14" s="8">
        <v>0</v>
      </c>
      <c r="H14" s="9"/>
      <c r="I14" s="8">
        <v>1</v>
      </c>
      <c r="J14" s="9"/>
      <c r="K14" s="8">
        <v>2</v>
      </c>
      <c r="L14" s="9"/>
      <c r="M14" s="8">
        <v>1</v>
      </c>
      <c r="N14" s="9"/>
      <c r="O14" s="8">
        <v>1</v>
      </c>
      <c r="P14" s="9"/>
      <c r="Q14" s="31">
        <f t="shared" si="0"/>
        <v>1</v>
      </c>
      <c r="R14" s="42">
        <f t="shared" si="1"/>
        <v>0</v>
      </c>
      <c r="S14" s="29">
        <f t="shared" si="2"/>
        <v>0.33333333333333331</v>
      </c>
      <c r="T14" s="30">
        <f t="shared" si="3"/>
        <v>0</v>
      </c>
      <c r="U14" s="36" t="str">
        <f t="shared" si="4"/>
        <v xml:space="preserve"> &lt; 50%</v>
      </c>
      <c r="V14" s="37" t="str">
        <f t="shared" si="5"/>
        <v xml:space="preserve"> &lt; 50%</v>
      </c>
      <c r="X14">
        <v>1</v>
      </c>
    </row>
    <row r="15" spans="1:24" ht="22.5" customHeight="1" x14ac:dyDescent="0.25">
      <c r="A15" s="19">
        <f>'Список детей'!A12</f>
        <v>11</v>
      </c>
      <c r="B15" s="12" t="str">
        <f>'Список детей'!B12</f>
        <v>Скворцова Вероника</v>
      </c>
      <c r="C15" s="8">
        <v>2</v>
      </c>
      <c r="D15" s="9"/>
      <c r="E15" s="8">
        <v>2</v>
      </c>
      <c r="F15" s="9"/>
      <c r="G15" s="8">
        <v>2</v>
      </c>
      <c r="H15" s="9"/>
      <c r="I15" s="8">
        <v>2</v>
      </c>
      <c r="J15" s="9"/>
      <c r="K15" s="8">
        <v>2</v>
      </c>
      <c r="L15" s="9"/>
      <c r="M15" s="8">
        <v>2</v>
      </c>
      <c r="N15" s="9"/>
      <c r="O15" s="8">
        <v>2</v>
      </c>
      <c r="P15" s="9"/>
      <c r="Q15" s="31">
        <f t="shared" si="0"/>
        <v>2</v>
      </c>
      <c r="R15" s="42">
        <f t="shared" si="1"/>
        <v>0</v>
      </c>
      <c r="S15" s="29">
        <f t="shared" si="2"/>
        <v>0.66666666666666663</v>
      </c>
      <c r="T15" s="30">
        <f t="shared" si="3"/>
        <v>0</v>
      </c>
      <c r="U15" s="36" t="str">
        <f t="shared" si="4"/>
        <v>50-75%</v>
      </c>
      <c r="V15" s="37" t="str">
        <f t="shared" si="5"/>
        <v xml:space="preserve"> &lt; 50%</v>
      </c>
      <c r="X15">
        <v>1</v>
      </c>
    </row>
    <row r="16" spans="1:24" ht="22.5" customHeight="1" x14ac:dyDescent="0.25">
      <c r="A16" s="19">
        <f>'Список детей'!A13</f>
        <v>12</v>
      </c>
      <c r="B16" s="12" t="str">
        <f>'Список детей'!B13</f>
        <v>Самордин Аким</v>
      </c>
      <c r="C16" s="8">
        <v>1</v>
      </c>
      <c r="D16" s="9"/>
      <c r="E16" s="8">
        <v>1</v>
      </c>
      <c r="F16" s="9"/>
      <c r="G16" s="8">
        <v>0</v>
      </c>
      <c r="H16" s="9"/>
      <c r="I16" s="8">
        <v>1</v>
      </c>
      <c r="J16" s="9"/>
      <c r="K16" s="8">
        <v>1</v>
      </c>
      <c r="L16" s="9"/>
      <c r="M16" s="8">
        <v>1</v>
      </c>
      <c r="N16" s="9"/>
      <c r="O16" s="8">
        <v>1</v>
      </c>
      <c r="P16" s="9"/>
      <c r="Q16" s="31">
        <f t="shared" si="0"/>
        <v>0.8571428571428571</v>
      </c>
      <c r="R16" s="42">
        <f t="shared" si="1"/>
        <v>0</v>
      </c>
      <c r="S16" s="29">
        <f t="shared" si="2"/>
        <v>0.2857142857142857</v>
      </c>
      <c r="T16" s="30">
        <f t="shared" si="3"/>
        <v>0</v>
      </c>
      <c r="U16" s="36" t="str">
        <f t="shared" si="4"/>
        <v xml:space="preserve"> &lt; 50%</v>
      </c>
      <c r="V16" s="37" t="str">
        <f t="shared" si="5"/>
        <v xml:space="preserve"> &lt; 50%</v>
      </c>
      <c r="X16">
        <v>1</v>
      </c>
    </row>
    <row r="17" spans="1:24" ht="22.5" customHeight="1" x14ac:dyDescent="0.25">
      <c r="A17" s="19">
        <f>'Список детей'!A14</f>
        <v>13</v>
      </c>
      <c r="B17" s="12" t="str">
        <f>'Список детей'!B14</f>
        <v>Франк Гектор</v>
      </c>
      <c r="C17" s="8">
        <v>2</v>
      </c>
      <c r="D17" s="9"/>
      <c r="E17" s="8">
        <v>2</v>
      </c>
      <c r="F17" s="9"/>
      <c r="G17" s="8">
        <v>2</v>
      </c>
      <c r="H17" s="9"/>
      <c r="I17" s="8">
        <v>2</v>
      </c>
      <c r="J17" s="9"/>
      <c r="K17" s="8">
        <v>2</v>
      </c>
      <c r="L17" s="9"/>
      <c r="M17" s="8">
        <v>2</v>
      </c>
      <c r="N17" s="9"/>
      <c r="O17" s="8">
        <v>2</v>
      </c>
      <c r="P17" s="9"/>
      <c r="Q17" s="31">
        <f t="shared" si="0"/>
        <v>2</v>
      </c>
      <c r="R17" s="42">
        <f t="shared" si="1"/>
        <v>0</v>
      </c>
      <c r="S17" s="29">
        <f t="shared" si="2"/>
        <v>0.66666666666666663</v>
      </c>
      <c r="T17" s="30">
        <f t="shared" si="3"/>
        <v>0</v>
      </c>
      <c r="U17" s="36" t="str">
        <f t="shared" si="4"/>
        <v>50-75%</v>
      </c>
      <c r="V17" s="37" t="str">
        <f t="shared" si="5"/>
        <v xml:space="preserve"> &lt; 50%</v>
      </c>
      <c r="X17">
        <v>1</v>
      </c>
    </row>
    <row r="18" spans="1:24" ht="22.5" customHeight="1" x14ac:dyDescent="0.25">
      <c r="A18" s="19">
        <f>'Список детей'!A15</f>
        <v>14</v>
      </c>
      <c r="B18" s="12" t="str">
        <f>'Список детей'!B15</f>
        <v>Швыдченко Кирилл</v>
      </c>
      <c r="C18" s="8">
        <v>1</v>
      </c>
      <c r="D18" s="9"/>
      <c r="E18" s="8">
        <v>1</v>
      </c>
      <c r="F18" s="9"/>
      <c r="G18" s="8">
        <v>1</v>
      </c>
      <c r="H18" s="9"/>
      <c r="I18" s="8">
        <v>1</v>
      </c>
      <c r="J18" s="9"/>
      <c r="K18" s="8">
        <v>2</v>
      </c>
      <c r="L18" s="9"/>
      <c r="M18" s="8">
        <v>1</v>
      </c>
      <c r="N18" s="9"/>
      <c r="O18" s="8">
        <v>1</v>
      </c>
      <c r="P18" s="9"/>
      <c r="Q18" s="31">
        <f t="shared" si="0"/>
        <v>1.1428571428571428</v>
      </c>
      <c r="R18" s="42">
        <f t="shared" si="1"/>
        <v>0</v>
      </c>
      <c r="S18" s="29">
        <f t="shared" si="2"/>
        <v>0.38095238095238093</v>
      </c>
      <c r="T18" s="30">
        <f t="shared" si="3"/>
        <v>0</v>
      </c>
      <c r="U18" s="36" t="str">
        <f t="shared" si="4"/>
        <v>50-75%</v>
      </c>
      <c r="V18" s="37" t="str">
        <f t="shared" si="5"/>
        <v xml:space="preserve"> &lt; 50%</v>
      </c>
      <c r="X18">
        <v>1</v>
      </c>
    </row>
    <row r="19" spans="1:24" ht="22.5" customHeight="1" x14ac:dyDescent="0.25">
      <c r="A19" s="19">
        <f>'Список детей'!A16</f>
        <v>15</v>
      </c>
      <c r="B19" s="12" t="str">
        <f>'Список детей'!B16</f>
        <v>Ребенок 15</v>
      </c>
      <c r="C19" s="8"/>
      <c r="D19" s="9"/>
      <c r="E19" s="8"/>
      <c r="F19" s="9"/>
      <c r="G19" s="8"/>
      <c r="H19" s="9"/>
      <c r="I19" s="8"/>
      <c r="J19" s="9"/>
      <c r="K19" s="8"/>
      <c r="L19" s="9"/>
      <c r="M19" s="8"/>
      <c r="N19" s="9"/>
      <c r="O19" s="8"/>
      <c r="P19" s="9"/>
      <c r="Q19" s="31">
        <f t="shared" si="0"/>
        <v>0</v>
      </c>
      <c r="R19" s="42">
        <f t="shared" si="1"/>
        <v>0</v>
      </c>
      <c r="S19" s="29">
        <f t="shared" si="2"/>
        <v>0</v>
      </c>
      <c r="T19" s="30">
        <f t="shared" si="3"/>
        <v>0</v>
      </c>
      <c r="U19" s="36" t="str">
        <f t="shared" si="4"/>
        <v xml:space="preserve"> &lt; 50%</v>
      </c>
      <c r="V19" s="37" t="str">
        <f t="shared" si="5"/>
        <v xml:space="preserve"> &lt; 50%</v>
      </c>
      <c r="X19">
        <v>1</v>
      </c>
    </row>
    <row r="20" spans="1:24" ht="22.5" customHeight="1" x14ac:dyDescent="0.25">
      <c r="A20" s="19">
        <f>'Список детей'!A17</f>
        <v>16</v>
      </c>
      <c r="B20" s="12" t="str">
        <f>'Список детей'!B17</f>
        <v>Ребенок 16</v>
      </c>
      <c r="C20" s="8"/>
      <c r="D20" s="9"/>
      <c r="E20" s="8"/>
      <c r="F20" s="9"/>
      <c r="G20" s="8"/>
      <c r="H20" s="9"/>
      <c r="I20" s="8"/>
      <c r="J20" s="9"/>
      <c r="K20" s="8"/>
      <c r="L20" s="9"/>
      <c r="M20" s="8"/>
      <c r="N20" s="9"/>
      <c r="O20" s="8"/>
      <c r="P20" s="9"/>
      <c r="Q20" s="31">
        <f t="shared" si="0"/>
        <v>0</v>
      </c>
      <c r="R20" s="42">
        <f t="shared" si="1"/>
        <v>0</v>
      </c>
      <c r="S20" s="29">
        <f t="shared" si="2"/>
        <v>0</v>
      </c>
      <c r="T20" s="30">
        <f t="shared" si="3"/>
        <v>0</v>
      </c>
      <c r="U20" s="36" t="str">
        <f t="shared" si="4"/>
        <v xml:space="preserve"> &lt; 50%</v>
      </c>
      <c r="V20" s="37" t="str">
        <f t="shared" si="5"/>
        <v xml:space="preserve"> &lt; 50%</v>
      </c>
      <c r="X20">
        <v>1</v>
      </c>
    </row>
    <row r="21" spans="1:24" ht="22.5" customHeight="1" x14ac:dyDescent="0.25">
      <c r="A21" s="19">
        <f>'Список детей'!A18</f>
        <v>17</v>
      </c>
      <c r="B21" s="12" t="str">
        <f>'Список детей'!B18</f>
        <v>Ребенок 17</v>
      </c>
      <c r="C21" s="8"/>
      <c r="D21" s="9"/>
      <c r="E21" s="8"/>
      <c r="F21" s="9"/>
      <c r="G21" s="8"/>
      <c r="H21" s="9"/>
      <c r="I21" s="8"/>
      <c r="J21" s="9"/>
      <c r="K21" s="8"/>
      <c r="L21" s="9"/>
      <c r="M21" s="8"/>
      <c r="N21" s="9"/>
      <c r="O21" s="8"/>
      <c r="P21" s="9"/>
      <c r="Q21" s="31">
        <f t="shared" ref="Q21:Q24" si="6">(C21+E21+G21+I21+K21+M21+O21)/7</f>
        <v>0</v>
      </c>
      <c r="R21" s="42">
        <f t="shared" ref="R21:R24" si="7">(D21+F21+H21+J21+L21+N21+P21)/7</f>
        <v>0</v>
      </c>
      <c r="S21" s="29">
        <f t="shared" ref="S21:S24" si="8">Q21/3</f>
        <v>0</v>
      </c>
      <c r="T21" s="30">
        <f t="shared" ref="T21:T24" si="9">R21/3</f>
        <v>0</v>
      </c>
      <c r="U21" s="36" t="str">
        <f t="shared" ref="U21:U24" si="10">IF(Q21&lt;=1," &lt; 50%",IF(Q21&lt;2.25,"50-75%","75-100%"))</f>
        <v xml:space="preserve"> &lt; 50%</v>
      </c>
      <c r="V21" s="37" t="str">
        <f t="shared" ref="V21:V24" si="11">IF(R21&lt;=1," &lt; 50%",IF(R21&lt;2.25,"50-75%","75-100%"))</f>
        <v xml:space="preserve"> &lt; 50%</v>
      </c>
      <c r="X21">
        <v>1</v>
      </c>
    </row>
    <row r="22" spans="1:24" ht="22.5" customHeight="1" x14ac:dyDescent="0.25">
      <c r="A22" s="19">
        <f>'Список детей'!A19</f>
        <v>18</v>
      </c>
      <c r="B22" s="12" t="str">
        <f>'Список детей'!B19</f>
        <v>Ребенок 18</v>
      </c>
      <c r="C22" s="8"/>
      <c r="D22" s="9"/>
      <c r="E22" s="8"/>
      <c r="F22" s="9"/>
      <c r="G22" s="8"/>
      <c r="H22" s="9"/>
      <c r="I22" s="8"/>
      <c r="J22" s="9"/>
      <c r="K22" s="8"/>
      <c r="L22" s="9"/>
      <c r="M22" s="8"/>
      <c r="N22" s="9"/>
      <c r="O22" s="8"/>
      <c r="P22" s="9"/>
      <c r="Q22" s="31">
        <f t="shared" si="6"/>
        <v>0</v>
      </c>
      <c r="R22" s="42">
        <f t="shared" si="7"/>
        <v>0</v>
      </c>
      <c r="S22" s="29">
        <f t="shared" si="8"/>
        <v>0</v>
      </c>
      <c r="T22" s="30">
        <f t="shared" si="9"/>
        <v>0</v>
      </c>
      <c r="U22" s="36" t="str">
        <f t="shared" si="10"/>
        <v xml:space="preserve"> &lt; 50%</v>
      </c>
      <c r="V22" s="37" t="str">
        <f t="shared" si="11"/>
        <v xml:space="preserve"> &lt; 50%</v>
      </c>
      <c r="X22">
        <v>1</v>
      </c>
    </row>
    <row r="23" spans="1:24" ht="22.5" customHeight="1" x14ac:dyDescent="0.25">
      <c r="A23" s="19">
        <f>'Список детей'!A20</f>
        <v>19</v>
      </c>
      <c r="B23" s="12" t="str">
        <f>'Список детей'!B20</f>
        <v>Ребенок 19</v>
      </c>
      <c r="C23" s="8"/>
      <c r="D23" s="9"/>
      <c r="E23" s="8"/>
      <c r="F23" s="9"/>
      <c r="G23" s="8"/>
      <c r="H23" s="9"/>
      <c r="I23" s="8"/>
      <c r="J23" s="9"/>
      <c r="K23" s="8"/>
      <c r="L23" s="9"/>
      <c r="M23" s="8"/>
      <c r="N23" s="9"/>
      <c r="O23" s="8"/>
      <c r="P23" s="9"/>
      <c r="Q23" s="31">
        <f t="shared" si="6"/>
        <v>0</v>
      </c>
      <c r="R23" s="42">
        <f t="shared" si="7"/>
        <v>0</v>
      </c>
      <c r="S23" s="29">
        <f t="shared" si="8"/>
        <v>0</v>
      </c>
      <c r="T23" s="30">
        <f t="shared" si="9"/>
        <v>0</v>
      </c>
      <c r="U23" s="36" t="str">
        <f t="shared" si="10"/>
        <v xml:space="preserve"> &lt; 50%</v>
      </c>
      <c r="V23" s="37" t="str">
        <f t="shared" si="11"/>
        <v xml:space="preserve"> &lt; 50%</v>
      </c>
      <c r="X23">
        <v>1</v>
      </c>
    </row>
    <row r="24" spans="1:24" ht="22.5" customHeight="1" x14ac:dyDescent="0.25">
      <c r="A24" s="19">
        <f>'Список детей'!A21</f>
        <v>20</v>
      </c>
      <c r="B24" s="12" t="str">
        <f>'Список детей'!B21</f>
        <v>Ребенок 20</v>
      </c>
      <c r="C24" s="8"/>
      <c r="D24" s="9"/>
      <c r="E24" s="8"/>
      <c r="F24" s="9"/>
      <c r="G24" s="8"/>
      <c r="H24" s="9"/>
      <c r="I24" s="8"/>
      <c r="J24" s="9"/>
      <c r="K24" s="8"/>
      <c r="L24" s="9"/>
      <c r="M24" s="8"/>
      <c r="N24" s="9"/>
      <c r="O24" s="8"/>
      <c r="P24" s="9"/>
      <c r="Q24" s="31">
        <f t="shared" si="6"/>
        <v>0</v>
      </c>
      <c r="R24" s="42">
        <f t="shared" si="7"/>
        <v>0</v>
      </c>
      <c r="S24" s="29">
        <f t="shared" si="8"/>
        <v>0</v>
      </c>
      <c r="T24" s="30">
        <f t="shared" si="9"/>
        <v>0</v>
      </c>
      <c r="U24" s="36" t="str">
        <f t="shared" si="10"/>
        <v xml:space="preserve"> &lt; 50%</v>
      </c>
      <c r="V24" s="37" t="str">
        <f t="shared" si="11"/>
        <v xml:space="preserve"> &lt; 50%</v>
      </c>
      <c r="X24">
        <v>1</v>
      </c>
    </row>
    <row r="25" spans="1:24" ht="22.5" customHeight="1" x14ac:dyDescent="0.25">
      <c r="A25" s="19">
        <f>'Список детей'!A22</f>
        <v>21</v>
      </c>
      <c r="B25" s="12" t="str">
        <f>'Список детей'!B22</f>
        <v>-</v>
      </c>
      <c r="C25" s="8"/>
      <c r="D25" s="9"/>
      <c r="E25" s="8"/>
      <c r="F25" s="9"/>
      <c r="G25" s="8"/>
      <c r="H25" s="9"/>
      <c r="I25" s="8"/>
      <c r="J25" s="9"/>
      <c r="K25" s="8"/>
      <c r="L25" s="9"/>
      <c r="M25" s="8"/>
      <c r="N25" s="9"/>
      <c r="O25" s="8"/>
      <c r="P25" s="9"/>
      <c r="Q25" s="31"/>
      <c r="R25" s="42"/>
      <c r="S25" s="29"/>
      <c r="T25" s="30"/>
      <c r="U25" s="36"/>
      <c r="V25" s="37"/>
    </row>
    <row r="26" spans="1:24" ht="22.5" customHeight="1" x14ac:dyDescent="0.25">
      <c r="A26" s="19">
        <f>'Список детей'!A23</f>
        <v>22</v>
      </c>
      <c r="B26" s="12" t="str">
        <f>'Список детей'!B23</f>
        <v>-</v>
      </c>
      <c r="C26" s="8"/>
      <c r="D26" s="9"/>
      <c r="E26" s="8"/>
      <c r="F26" s="9"/>
      <c r="G26" s="8"/>
      <c r="H26" s="9"/>
      <c r="I26" s="8"/>
      <c r="J26" s="9"/>
      <c r="K26" s="8"/>
      <c r="L26" s="9"/>
      <c r="M26" s="8"/>
      <c r="N26" s="9"/>
      <c r="O26" s="8"/>
      <c r="P26" s="9"/>
      <c r="Q26" s="31"/>
      <c r="R26" s="42"/>
      <c r="S26" s="29"/>
      <c r="T26" s="30"/>
      <c r="U26" s="36"/>
      <c r="V26" s="37"/>
    </row>
    <row r="27" spans="1:24" ht="22.5" customHeight="1" x14ac:dyDescent="0.25">
      <c r="A27" s="19">
        <f>'Список детей'!A24</f>
        <v>23</v>
      </c>
      <c r="B27" s="12" t="str">
        <f>'Список детей'!B24</f>
        <v>-</v>
      </c>
      <c r="C27" s="8"/>
      <c r="D27" s="9"/>
      <c r="E27" s="8"/>
      <c r="F27" s="9"/>
      <c r="G27" s="8"/>
      <c r="H27" s="9"/>
      <c r="I27" s="8"/>
      <c r="J27" s="9"/>
      <c r="K27" s="8"/>
      <c r="L27" s="9"/>
      <c r="M27" s="8"/>
      <c r="N27" s="9"/>
      <c r="O27" s="8"/>
      <c r="P27" s="9"/>
      <c r="Q27" s="31"/>
      <c r="R27" s="42"/>
      <c r="S27" s="29"/>
      <c r="T27" s="30"/>
      <c r="U27" s="36"/>
      <c r="V27" s="37"/>
    </row>
    <row r="28" spans="1:24" ht="22.5" customHeight="1" x14ac:dyDescent="0.25">
      <c r="A28" s="8"/>
      <c r="B28" s="12"/>
      <c r="C28" s="8"/>
      <c r="D28" s="9"/>
      <c r="E28" s="8"/>
      <c r="F28" s="9"/>
      <c r="G28" s="8"/>
      <c r="H28" s="9"/>
      <c r="I28" s="8"/>
      <c r="J28" s="9"/>
      <c r="K28" s="8"/>
      <c r="L28" s="9"/>
      <c r="M28" s="8"/>
      <c r="N28" s="9"/>
      <c r="O28" s="8"/>
      <c r="P28" s="9"/>
      <c r="Q28" s="31"/>
      <c r="R28" s="42"/>
      <c r="S28" s="29"/>
      <c r="T28" s="30"/>
      <c r="U28" s="29"/>
      <c r="V28" s="30"/>
    </row>
    <row r="29" spans="1:24" ht="22.5" customHeight="1" x14ac:dyDescent="0.25">
      <c r="A29" s="8"/>
      <c r="B29" s="12"/>
      <c r="C29" s="8"/>
      <c r="D29" s="9"/>
      <c r="E29" s="8"/>
      <c r="F29" s="9"/>
      <c r="G29" s="8"/>
      <c r="H29" s="9"/>
      <c r="I29" s="8"/>
      <c r="J29" s="9"/>
      <c r="K29" s="8"/>
      <c r="L29" s="9"/>
      <c r="M29" s="8"/>
      <c r="N29" s="9"/>
      <c r="O29" s="8"/>
      <c r="P29" s="9"/>
      <c r="Q29" s="31"/>
      <c r="R29" s="42"/>
      <c r="S29" s="29"/>
      <c r="T29" s="30"/>
      <c r="U29" s="29"/>
      <c r="V29" s="30"/>
    </row>
    <row r="30" spans="1:24" s="1" customFormat="1" ht="33.75" customHeight="1" x14ac:dyDescent="0.25">
      <c r="A30" s="45" t="s">
        <v>41</v>
      </c>
      <c r="B30" s="45"/>
      <c r="C30" s="18">
        <f t="shared" ref="C30:R30" si="12">AVERAGE(C5:C29)</f>
        <v>1.5384615384615385</v>
      </c>
      <c r="D30" s="41" t="e">
        <f t="shared" si="12"/>
        <v>#DIV/0!</v>
      </c>
      <c r="E30" s="18">
        <f t="shared" si="12"/>
        <v>1.6153846153846154</v>
      </c>
      <c r="F30" s="41" t="e">
        <f t="shared" si="12"/>
        <v>#DIV/0!</v>
      </c>
      <c r="G30" s="18">
        <f t="shared" si="12"/>
        <v>1.1538461538461537</v>
      </c>
      <c r="H30" s="41" t="e">
        <f t="shared" si="12"/>
        <v>#DIV/0!</v>
      </c>
      <c r="I30" s="18">
        <f t="shared" si="12"/>
        <v>1.3846153846153846</v>
      </c>
      <c r="J30" s="41" t="e">
        <f t="shared" si="12"/>
        <v>#DIV/0!</v>
      </c>
      <c r="K30" s="18">
        <f t="shared" si="12"/>
        <v>2.0769230769230771</v>
      </c>
      <c r="L30" s="41" t="e">
        <f t="shared" si="12"/>
        <v>#DIV/0!</v>
      </c>
      <c r="M30" s="18">
        <f t="shared" si="12"/>
        <v>1.6923076923076923</v>
      </c>
      <c r="N30" s="41" t="e">
        <f t="shared" si="12"/>
        <v>#DIV/0!</v>
      </c>
      <c r="O30" s="18">
        <f t="shared" si="12"/>
        <v>1.3846153846153846</v>
      </c>
      <c r="P30" s="41" t="e">
        <f t="shared" si="12"/>
        <v>#DIV/0!</v>
      </c>
      <c r="Q30" s="31">
        <f t="shared" si="12"/>
        <v>1.0071428571428573</v>
      </c>
      <c r="R30" s="42">
        <f t="shared" si="12"/>
        <v>0</v>
      </c>
      <c r="S30" s="29">
        <f>SUM(S5:S25)/'Список детей'!$C$34</f>
        <v>0.47959183673469397</v>
      </c>
      <c r="T30" s="30">
        <f>SUM(T5:T25)/'Список детей'!$C$34</f>
        <v>0</v>
      </c>
      <c r="U30" s="27"/>
      <c r="V30" s="28"/>
    </row>
    <row r="31" spans="1:24" ht="18.75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"/>
    </row>
    <row r="32" spans="1:2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32"/>
      <c r="Q32" s="6" t="s">
        <v>24</v>
      </c>
      <c r="R32" s="6" t="s">
        <v>23</v>
      </c>
    </row>
    <row r="33" spans="1:1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33" t="s">
        <v>16</v>
      </c>
      <c r="Q33" s="6">
        <f>SUMIF(U5:U29," &lt; 50%",X5:X29)</f>
        <v>10</v>
      </c>
      <c r="R33" s="6">
        <f>SUMIF(V5:V29," &lt; 50%",X5:X29)</f>
        <v>20</v>
      </c>
    </row>
    <row r="34" spans="1:1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33" t="s">
        <v>17</v>
      </c>
      <c r="Q34" s="6">
        <f>SUMIF(U5:U29,"50-75%",X5:X29)</f>
        <v>8</v>
      </c>
      <c r="R34" s="6">
        <f>SUMIF(V5:V29,"50-75%",X5:X29)</f>
        <v>0</v>
      </c>
    </row>
    <row r="35" spans="1:1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33" t="s">
        <v>19</v>
      </c>
      <c r="Q35" s="6">
        <f>SUMIF(U5:U29,"75-100%",X5:X29)</f>
        <v>2</v>
      </c>
      <c r="R35" s="6">
        <f>SUMIF(V5:V29,"75-100%",X5:X29)</f>
        <v>0</v>
      </c>
    </row>
    <row r="36" spans="1:1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32"/>
      <c r="Q36" s="6"/>
    </row>
    <row r="37" spans="1:18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33"/>
    </row>
    <row r="38" spans="1:18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33"/>
    </row>
    <row r="39" spans="1:18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33"/>
    </row>
  </sheetData>
  <mergeCells count="13">
    <mergeCell ref="U3:V3"/>
    <mergeCell ref="A30:B30"/>
    <mergeCell ref="I3:J3"/>
    <mergeCell ref="K3:L3"/>
    <mergeCell ref="O3:P3"/>
    <mergeCell ref="Q3:R3"/>
    <mergeCell ref="S3:T3"/>
    <mergeCell ref="A3:A4"/>
    <mergeCell ref="B3:B4"/>
    <mergeCell ref="C3:D3"/>
    <mergeCell ref="E3:F3"/>
    <mergeCell ref="G3:H3"/>
    <mergeCell ref="M3:N3"/>
  </mergeCells>
  <pageMargins left="0.70866141732283472" right="0.70866141732283472" top="0.74803149606299213" bottom="0.74803149606299213" header="0.51181102362204722" footer="0.51181102362204722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Список детей</vt:lpstr>
      <vt:lpstr>познавательное развитие</vt:lpstr>
      <vt:lpstr>социально-коммуникативное разви</vt:lpstr>
      <vt:lpstr>речевое развитие</vt:lpstr>
      <vt:lpstr>художественно-эстетическое раз</vt:lpstr>
      <vt:lpstr>физическое развитие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Olga</dc:creator>
  <dc:description/>
  <cp:lastModifiedBy>Ольга Орлова</cp:lastModifiedBy>
  <cp:revision>12</cp:revision>
  <cp:lastPrinted>2023-12-12T19:29:32Z</cp:lastPrinted>
  <dcterms:created xsi:type="dcterms:W3CDTF">2006-09-16T00:00:00Z</dcterms:created>
  <dcterms:modified xsi:type="dcterms:W3CDTF">2025-11-06T04:44:16Z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